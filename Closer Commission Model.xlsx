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Model" sheetId="2" state="visible" r:id="rId2"/>
    <sheet name="MRR Plan" sheetId="3" state="visible" r:id="rId3"/>
    <sheet name="MRR Model" sheetId="4" state="visible" r:id="rId4"/>
    <sheet name="MRR + Onboarding" sheetId="5" state="visible" r:id="rId5"/>
    <sheet name="Base Comparison" sheetId="6" state="visible" r:id="rId6"/>
    <sheet name="Unified Mod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$#,##0"/>
    <numFmt numFmtId="166" formatCode="0.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i val="1"/>
      <color rgb="00000000"/>
      <sz val="11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FFFFFF"/>
      <sz val="1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0F0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9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" fontId="4" fillId="8" borderId="1" applyAlignment="1" pivotButton="0" quotePrefix="0" xfId="0">
      <alignment horizontal="center" vertical="center" wrapText="1"/>
    </xf>
    <xf numFmtId="1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6" fontId="5" fillId="8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" fontId="13" fillId="5" borderId="0" applyAlignment="1" pivotButton="0" quotePrefix="0" xfId="0">
      <alignment horizontal="center" vertical="center" wrapText="1"/>
    </xf>
    <xf numFmtId="164" fontId="13" fillId="5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 CTC (Rs L) vs Clients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'Model'!H22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'Model'!$B$23:$B$50</f>
            </numRef>
          </cat>
          <val>
            <numRef>
              <f>'Model'!$H$23:$H$50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Clients closed per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CTC (Rs Lakhs)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MRR Model: Total CTC (Rs L) vs Clients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'MRR Model'!G16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'MRR Model'!$B$17:$B$44</f>
            </numRef>
          </cat>
          <val>
            <numRef>
              <f>'MRR Model'!$G$17:$G$44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Clients closed per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CTC (Rs Lakhs)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MRR + Onboarding: Total CTC (Rs L) vs Clients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'MRR + Onboarding'!J22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'MRR + Onboarding'!$B$23:$B$50</f>
            </numRef>
          </cat>
          <val>
            <numRef>
              <f>'MRR + Onboarding'!$J$23:$J$50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Clients closed per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CTC (Rs Lakhs)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 CTC (Rs L) vs Clients/month  -  3 base cases</a:t>
            </a:r>
          </a:p>
        </rich>
      </tx>
    </title>
    <plotArea>
      <lineChart>
        <grouping val="standard"/>
        <ser>
          <idx val="0"/>
          <order val="0"/>
          <tx>
            <strRef>
              <f>'Base Comparison'!I4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'Base Comparison'!$H$5:$H$32</f>
            </numRef>
          </cat>
          <val>
            <numRef>
              <f>'Base Comparison'!$I$5:$I$32</f>
            </numRef>
          </val>
        </ser>
        <ser>
          <idx val="1"/>
          <order val="1"/>
          <tx>
            <strRef>
              <f>'Base Comparison'!J4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'Base Comparison'!$H$5:$H$32</f>
            </numRef>
          </cat>
          <val>
            <numRef>
              <f>'Base Comparison'!$J$5:$J$32</f>
            </numRef>
          </val>
        </ser>
        <ser>
          <idx val="2"/>
          <order val="2"/>
          <tx>
            <strRef>
              <f>'Base Comparison'!K4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'Base Comparison'!$H$5:$H$32</f>
            </numRef>
          </cat>
          <val>
            <numRef>
              <f>'Base Comparison'!$K$5:$K$32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Clients /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CTC (Rs 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Unified Model: Total CTC (Rs L) vs Clients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'Unified Model'!I22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'Unified Model'!$B$23:$B$50</f>
            </numRef>
          </cat>
          <val>
            <numRef>
              <f>'Unified Model'!$I$23:$I$50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Clients closed per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CTC (Rs Lakhs)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 ht="34" customHeight="1">
      <c r="B2" s="1" t="inlineStr">
        <is>
          <t>Closer Compensation Plan</t>
        </is>
      </c>
    </row>
    <row r="3" ht="20" customHeight="1">
      <c r="B3" s="2" t="inlineStr">
        <is>
          <t>Fixed base + size-weighted commission per client closed</t>
        </is>
      </c>
    </row>
    <row r="5">
      <c r="B5" s="3" t="inlineStr">
        <is>
          <t>The Package</t>
        </is>
      </c>
    </row>
    <row r="6">
      <c r="B6" s="4" t="inlineStr">
        <is>
          <t>Fixed base salary</t>
        </is>
      </c>
      <c r="C6" s="5" t="inlineStr">
        <is>
          <t>Rs 16,00,000 / year (Rs 1.33L / month)</t>
        </is>
      </c>
    </row>
    <row r="7">
      <c r="B7" s="4" t="inlineStr">
        <is>
          <t>Variable (commission)</t>
        </is>
      </c>
      <c r="C7" s="5" t="inlineStr">
        <is>
          <t>Earned per client closed, on top of base</t>
        </is>
      </c>
    </row>
    <row r="8">
      <c r="B8" s="4" t="inlineStr">
        <is>
          <t>On-target earnings (OTE)</t>
        </is>
      </c>
      <c r="C8" s="5" t="inlineStr">
        <is>
          <t>~Rs 24L / year at steady performance</t>
        </is>
      </c>
    </row>
    <row r="9">
      <c r="B9" s="4" t="inlineStr">
        <is>
          <t>Stretch ceiling</t>
        </is>
      </c>
      <c r="C9" s="5" t="inlineStr">
        <is>
          <t>~Rs 28L+ / year at full pace, more with self-sourcing</t>
        </is>
      </c>
    </row>
    <row r="11">
      <c r="B11" s="3" t="inlineStr">
        <is>
          <t>How the commission works</t>
        </is>
      </c>
    </row>
    <row r="12" ht="30" customHeight="1">
      <c r="B12" s="6" t="inlineStr">
        <is>
          <t>1.  Your Rs 16L base covers a baseline of 8 closed clients per month. No commission on those 8.</t>
        </is>
      </c>
    </row>
    <row r="13" ht="30" customHeight="1">
      <c r="B13" s="6" t="inlineStr">
        <is>
          <t>2.  From the 9th client each month onward, you earn a per-client bounty.</t>
        </is>
      </c>
    </row>
    <row r="14" ht="30" customHeight="1">
      <c r="B14" s="6" t="inlineStr">
        <is>
          <t>3.  The bounty scales with the brand's size, measured as its average monthly revenue over the last 3 months at the time of close.</t>
        </is>
      </c>
    </row>
    <row r="15" ht="30" customHeight="1">
      <c r="B15" s="6" t="inlineStr">
        <is>
          <t>4.  Bigger brands pay a bigger bounty (see the band table below).</t>
        </is>
      </c>
    </row>
    <row r="16" ht="30" customHeight="1">
      <c r="B16" s="6" t="inlineStr">
        <is>
          <t>5.  The 8 baseline clients each month are your lowest-revenue ones, so commission always applies to your bigger wins.</t>
        </is>
      </c>
    </row>
    <row r="17" ht="30" customHeight="1">
      <c r="B17" s="6" t="inlineStr">
        <is>
          <t>6.  Self-sourced clients (closed from your own outreach, not a company-provided meeting) earn a 50% premium on the bounty.</t>
        </is>
      </c>
    </row>
    <row r="18" ht="30" customHeight="1">
      <c r="B18" s="6" t="inlineStr">
        <is>
          <t>7.  Payout timing: 60% paid on close, 40% after the client stays 90 days. This protects against early churn and keeps us pulling in the same direction: clients who last.</t>
        </is>
      </c>
    </row>
    <row r="20">
      <c r="B20" s="3" t="inlineStr">
        <is>
          <t>Bounty by brand size</t>
        </is>
      </c>
    </row>
    <row r="21" ht="32" customHeight="1">
      <c r="B21" s="7" t="inlineStr">
        <is>
          <t>Band</t>
        </is>
      </c>
      <c r="C21" s="7" t="inlineStr">
        <is>
          <t>Brand 3-mo avg monthly revenue</t>
        </is>
      </c>
      <c r="D21" s="7" t="inlineStr">
        <is>
          <t>Bounty / client (company-fed)</t>
        </is>
      </c>
      <c r="E21" s="7" t="inlineStr">
        <is>
          <t>Self-sourced (+50%)</t>
        </is>
      </c>
    </row>
    <row r="22">
      <c r="B22" s="8" t="inlineStr">
        <is>
          <t>Band 1</t>
        </is>
      </c>
      <c r="C22" s="9" t="inlineStr">
        <is>
          <t>$0 - $10k</t>
        </is>
      </c>
      <c r="D22" s="10" t="n">
        <v>3000</v>
      </c>
      <c r="E22" s="10" t="n">
        <v>4500</v>
      </c>
    </row>
    <row r="23">
      <c r="B23" s="8" t="inlineStr">
        <is>
          <t>Band 2</t>
        </is>
      </c>
      <c r="C23" s="9" t="inlineStr">
        <is>
          <t>$10k - $20k</t>
        </is>
      </c>
      <c r="D23" s="10" t="n">
        <v>5000</v>
      </c>
      <c r="E23" s="10" t="n">
        <v>7500</v>
      </c>
    </row>
    <row r="24">
      <c r="B24" s="8" t="inlineStr">
        <is>
          <t>Band 3</t>
        </is>
      </c>
      <c r="C24" s="9" t="inlineStr">
        <is>
          <t>$20k - $30k</t>
        </is>
      </c>
      <c r="D24" s="10" t="n">
        <v>7000</v>
      </c>
      <c r="E24" s="10" t="n">
        <v>10500</v>
      </c>
    </row>
    <row r="25">
      <c r="B25" s="8" t="inlineStr">
        <is>
          <t>Band 4</t>
        </is>
      </c>
      <c r="C25" s="9" t="inlineStr">
        <is>
          <t>$30k +</t>
        </is>
      </c>
      <c r="D25" s="10" t="n">
        <v>9000</v>
      </c>
      <c r="E25" s="10" t="n">
        <v>13500</v>
      </c>
    </row>
    <row r="27">
      <c r="B27" s="3" t="inlineStr">
        <is>
          <t>Worked example: a 15-client month</t>
        </is>
      </c>
    </row>
    <row r="28" ht="28" customHeight="1">
      <c r="B28" s="6" t="inlineStr">
        <is>
          <t>You close 15 clients. The 8 lowest-revenue ones count toward your base (no commission).</t>
        </is>
      </c>
    </row>
    <row r="29" ht="28" customHeight="1">
      <c r="B29" s="6" t="inlineStr">
        <is>
          <t>The remaining 7 earn bounties. Say they are: 3 small ($0-10k), 2 mid ($10-20k), 2 large ($20-30k), all company-fed.</t>
        </is>
      </c>
    </row>
    <row r="30" ht="28" customHeight="1">
      <c r="B30" s="6" t="inlineStr">
        <is>
          <t>Commission = (3 x 3,000) + (2 x 5,000) + (2 x 7,000) = 9,000 + 10,000 + 14,000 = Rs 33,000 that month.</t>
        </is>
      </c>
    </row>
    <row r="31" ht="28" customHeight="1">
      <c r="B31" s="6" t="inlineStr">
        <is>
          <t>Annualised at that pace = ~Rs 4L commission, taking total comp to ~Rs 20L. Self-sourcing any of them adds 50% on those.</t>
        </is>
      </c>
    </row>
  </sheetData>
  <mergeCells count="21">
    <mergeCell ref="B30:E30"/>
    <mergeCell ref="C9:E9"/>
    <mergeCell ref="B15:E15"/>
    <mergeCell ref="B5:E5"/>
    <mergeCell ref="B20:E20"/>
    <mergeCell ref="C8:E8"/>
    <mergeCell ref="B16:E16"/>
    <mergeCell ref="B3:E3"/>
    <mergeCell ref="C7:E7"/>
    <mergeCell ref="B31:E31"/>
    <mergeCell ref="B18:E18"/>
    <mergeCell ref="B27:E27"/>
    <mergeCell ref="B12:E12"/>
    <mergeCell ref="B11:E11"/>
    <mergeCell ref="B2:E2"/>
    <mergeCell ref="B14:E14"/>
    <mergeCell ref="C6:E6"/>
    <mergeCell ref="B17:E17"/>
    <mergeCell ref="B13:E13"/>
    <mergeCell ref="B29:E29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1" t="inlineStr">
        <is>
          <t>Commission Model  -  edit the yellow cells to test scenarios</t>
        </is>
      </c>
    </row>
    <row r="4">
      <c r="B4" s="12" t="inlineStr">
        <is>
          <t>INPUTS</t>
        </is>
      </c>
    </row>
    <row r="5">
      <c r="B5" s="4" t="inlineStr">
        <is>
          <t>Fixed base salary (Rs / year)</t>
        </is>
      </c>
      <c r="C5" s="13" t="n">
        <v>1600000</v>
      </c>
    </row>
    <row r="6">
      <c r="B6" s="4" t="inlineStr">
        <is>
          <t>Commission gate (clients/month with no commission)</t>
        </is>
      </c>
      <c r="C6" s="14" t="n">
        <v>8</v>
      </c>
    </row>
    <row r="7">
      <c r="B7" s="4" t="inlineStr">
        <is>
          <t>Self-sourced premium (% on bounty)</t>
        </is>
      </c>
      <c r="C7" s="15" t="n">
        <v>0.5</v>
      </c>
    </row>
    <row r="8">
      <c r="B8" s="4" t="inlineStr">
        <is>
          <t>% of closes that are self-sourced</t>
        </is>
      </c>
      <c r="C8" s="15" t="n">
        <v>0</v>
      </c>
    </row>
    <row r="9">
      <c r="B9" s="5" t="inlineStr">
        <is>
          <t>Deferred payout (info only, does not change annual total)</t>
        </is>
      </c>
      <c r="C9" s="16" t="inlineStr">
        <is>
          <t>60% on close / 40% at 90-day survival</t>
        </is>
      </c>
      <c r="D9" s="17" t="n"/>
      <c r="E9" s="17" t="n"/>
      <c r="F9" s="18" t="n"/>
    </row>
    <row r="11">
      <c r="B11" s="12" t="inlineStr">
        <is>
          <t>BANDS  (bounty by brand 3-mo avg monthly revenue)</t>
        </is>
      </c>
    </row>
    <row r="12">
      <c r="B12" s="7" t="inlineStr">
        <is>
          <t>Band</t>
        </is>
      </c>
      <c r="C12" s="7" t="inlineStr">
        <is>
          <t>Brand revenue band</t>
        </is>
      </c>
      <c r="D12" s="7" t="inlineStr">
        <is>
          <t>Bounty/client (Rs)</t>
        </is>
      </c>
      <c r="E12" s="7" t="inlineStr">
        <is>
          <t>Mix % of closes</t>
        </is>
      </c>
    </row>
    <row r="13">
      <c r="B13" s="8" t="inlineStr">
        <is>
          <t>Band 1</t>
        </is>
      </c>
      <c r="C13" s="9" t="inlineStr">
        <is>
          <t>$0 - $10k</t>
        </is>
      </c>
      <c r="D13" s="13" t="n">
        <v>3000</v>
      </c>
      <c r="E13" s="15" t="n">
        <v>0.4</v>
      </c>
    </row>
    <row r="14">
      <c r="B14" s="8" t="inlineStr">
        <is>
          <t>Band 2</t>
        </is>
      </c>
      <c r="C14" s="9" t="inlineStr">
        <is>
          <t>$10k - $20k</t>
        </is>
      </c>
      <c r="D14" s="13" t="n">
        <v>5000</v>
      </c>
      <c r="E14" s="15" t="n">
        <v>0.35</v>
      </c>
    </row>
    <row r="15">
      <c r="B15" s="8" t="inlineStr">
        <is>
          <t>Band 3</t>
        </is>
      </c>
      <c r="C15" s="9" t="inlineStr">
        <is>
          <t>$20k - $30k</t>
        </is>
      </c>
      <c r="D15" s="13" t="n">
        <v>7000</v>
      </c>
      <c r="E15" s="15" t="n">
        <v>0.15</v>
      </c>
    </row>
    <row r="16">
      <c r="B16" s="8" t="inlineStr">
        <is>
          <t>Band 4</t>
        </is>
      </c>
      <c r="C16" s="9" t="inlineStr">
        <is>
          <t>$30k +</t>
        </is>
      </c>
      <c r="D16" s="13" t="n">
        <v>9000</v>
      </c>
      <c r="E16" s="15" t="n">
        <v>0.1</v>
      </c>
    </row>
    <row r="17">
      <c r="B17" s="4" t="inlineStr">
        <is>
          <t>Mix total (must = 100%)</t>
        </is>
      </c>
      <c r="E17" s="19">
        <f>SUM(E13:E16)</f>
        <v/>
      </c>
    </row>
    <row r="18">
      <c r="B18" s="20" t="inlineStr">
        <is>
          <t>Avg bounty / client (Rs)</t>
        </is>
      </c>
      <c r="D18" s="21">
        <f>SUMPRODUCT(D13:D16,E13:E16)</f>
        <v/>
      </c>
    </row>
    <row r="19">
      <c r="B19" s="20" t="inlineStr">
        <is>
          <t>Effective bounty incl. self-sourced (Rs)</t>
        </is>
      </c>
      <c r="D19" s="21">
        <f>$D$18*(1+$C$8*$C$7)</f>
        <v/>
      </c>
    </row>
    <row r="21">
      <c r="B21" s="12" t="inlineStr">
        <is>
          <t>EARNINGS BY MONTHLY CLOSE RATE</t>
        </is>
      </c>
    </row>
    <row r="22" ht="42" customHeight="1">
      <c r="B22" s="22" t="inlineStr">
        <is>
          <t>Clients / month</t>
        </is>
      </c>
      <c r="C22" s="22" t="inlineStr">
        <is>
          <t>Paid clients (above gate)</t>
        </is>
      </c>
      <c r="D22" s="22" t="inlineStr">
        <is>
          <t>Monthly commission (Rs)</t>
        </is>
      </c>
      <c r="E22" s="22" t="inlineStr">
        <is>
          <t>Annual commission (Rs)</t>
        </is>
      </c>
      <c r="F22" s="22" t="inlineStr">
        <is>
          <t>Annual commission (Rs L)</t>
        </is>
      </c>
      <c r="G22" s="22" t="inlineStr">
        <is>
          <t>Total CTC (Rs)</t>
        </is>
      </c>
      <c r="H22" s="22" t="inlineStr">
        <is>
          <t>Total CTC (Rs L)</t>
        </is>
      </c>
    </row>
    <row r="23">
      <c r="B23" s="23" t="n">
        <v>8</v>
      </c>
      <c r="C23" s="23">
        <f>MAX(0,B23-$C$6)</f>
        <v/>
      </c>
      <c r="D23" s="10">
        <f>C23*$D$19</f>
        <v/>
      </c>
      <c r="E23" s="10">
        <f>D23*12</f>
        <v/>
      </c>
      <c r="F23" s="24">
        <f>E23/100000</f>
        <v/>
      </c>
      <c r="G23" s="10">
        <f>$C$5+E23</f>
        <v/>
      </c>
      <c r="H23" s="24">
        <f>G23/100000</f>
        <v/>
      </c>
    </row>
    <row r="24">
      <c r="B24" s="23" t="n">
        <v>9</v>
      </c>
      <c r="C24" s="23">
        <f>MAX(0,B24-$C$6)</f>
        <v/>
      </c>
      <c r="D24" s="10">
        <f>C24*$D$19</f>
        <v/>
      </c>
      <c r="E24" s="10">
        <f>D24*12</f>
        <v/>
      </c>
      <c r="F24" s="24">
        <f>E24/100000</f>
        <v/>
      </c>
      <c r="G24" s="10">
        <f>$C$5+E24</f>
        <v/>
      </c>
      <c r="H24" s="24">
        <f>G24/100000</f>
        <v/>
      </c>
    </row>
    <row r="25">
      <c r="B25" s="23" t="n">
        <v>10</v>
      </c>
      <c r="C25" s="23">
        <f>MAX(0,B25-$C$6)</f>
        <v/>
      </c>
      <c r="D25" s="10">
        <f>C25*$D$19</f>
        <v/>
      </c>
      <c r="E25" s="10">
        <f>D25*12</f>
        <v/>
      </c>
      <c r="F25" s="24">
        <f>E25/100000</f>
        <v/>
      </c>
      <c r="G25" s="10">
        <f>$C$5+E25</f>
        <v/>
      </c>
      <c r="H25" s="24">
        <f>G25/100000</f>
        <v/>
      </c>
    </row>
    <row r="26">
      <c r="B26" s="23" t="n">
        <v>11</v>
      </c>
      <c r="C26" s="23">
        <f>MAX(0,B26-$C$6)</f>
        <v/>
      </c>
      <c r="D26" s="10">
        <f>C26*$D$19</f>
        <v/>
      </c>
      <c r="E26" s="10">
        <f>D26*12</f>
        <v/>
      </c>
      <c r="F26" s="24">
        <f>E26/100000</f>
        <v/>
      </c>
      <c r="G26" s="10">
        <f>$C$5+E26</f>
        <v/>
      </c>
      <c r="H26" s="24">
        <f>G26/100000</f>
        <v/>
      </c>
    </row>
    <row r="27">
      <c r="B27" s="25" t="n">
        <v>12</v>
      </c>
      <c r="C27" s="26">
        <f>MAX(0,B27-$C$6)</f>
        <v/>
      </c>
      <c r="D27" s="27">
        <f>C27*$D$19</f>
        <v/>
      </c>
      <c r="E27" s="27">
        <f>D27*12</f>
        <v/>
      </c>
      <c r="F27" s="28">
        <f>E27/100000</f>
        <v/>
      </c>
      <c r="G27" s="27">
        <f>$C$5+E27</f>
        <v/>
      </c>
      <c r="H27" s="29">
        <f>G27/100000</f>
        <v/>
      </c>
    </row>
    <row r="28">
      <c r="B28" s="23" t="n">
        <v>13</v>
      </c>
      <c r="C28" s="23">
        <f>MAX(0,B28-$C$6)</f>
        <v/>
      </c>
      <c r="D28" s="10">
        <f>C28*$D$19</f>
        <v/>
      </c>
      <c r="E28" s="10">
        <f>D28*12</f>
        <v/>
      </c>
      <c r="F28" s="24">
        <f>E28/100000</f>
        <v/>
      </c>
      <c r="G28" s="10">
        <f>$C$5+E28</f>
        <v/>
      </c>
      <c r="H28" s="24">
        <f>G28/100000</f>
        <v/>
      </c>
    </row>
    <row r="29">
      <c r="B29" s="23" t="n">
        <v>14</v>
      </c>
      <c r="C29" s="23">
        <f>MAX(0,B29-$C$6)</f>
        <v/>
      </c>
      <c r="D29" s="10">
        <f>C29*$D$19</f>
        <v/>
      </c>
      <c r="E29" s="10">
        <f>D29*12</f>
        <v/>
      </c>
      <c r="F29" s="24">
        <f>E29/100000</f>
        <v/>
      </c>
      <c r="G29" s="10">
        <f>$C$5+E29</f>
        <v/>
      </c>
      <c r="H29" s="24">
        <f>G29/100000</f>
        <v/>
      </c>
    </row>
    <row r="30">
      <c r="B30" s="23" t="n">
        <v>15</v>
      </c>
      <c r="C30" s="23">
        <f>MAX(0,B30-$C$6)</f>
        <v/>
      </c>
      <c r="D30" s="10">
        <f>C30*$D$19</f>
        <v/>
      </c>
      <c r="E30" s="10">
        <f>D30*12</f>
        <v/>
      </c>
      <c r="F30" s="24">
        <f>E30/100000</f>
        <v/>
      </c>
      <c r="G30" s="10">
        <f>$C$5+E30</f>
        <v/>
      </c>
      <c r="H30" s="24">
        <f>G30/100000</f>
        <v/>
      </c>
    </row>
    <row r="31">
      <c r="B31" s="25" t="n">
        <v>16</v>
      </c>
      <c r="C31" s="26">
        <f>MAX(0,B31-$C$6)</f>
        <v/>
      </c>
      <c r="D31" s="27">
        <f>C31*$D$19</f>
        <v/>
      </c>
      <c r="E31" s="27">
        <f>D31*12</f>
        <v/>
      </c>
      <c r="F31" s="28">
        <f>E31/100000</f>
        <v/>
      </c>
      <c r="G31" s="27">
        <f>$C$5+E31</f>
        <v/>
      </c>
      <c r="H31" s="29">
        <f>G31/100000</f>
        <v/>
      </c>
    </row>
    <row r="32">
      <c r="B32" s="23" t="n">
        <v>17</v>
      </c>
      <c r="C32" s="23">
        <f>MAX(0,B32-$C$6)</f>
        <v/>
      </c>
      <c r="D32" s="10">
        <f>C32*$D$19</f>
        <v/>
      </c>
      <c r="E32" s="10">
        <f>D32*12</f>
        <v/>
      </c>
      <c r="F32" s="24">
        <f>E32/100000</f>
        <v/>
      </c>
      <c r="G32" s="10">
        <f>$C$5+E32</f>
        <v/>
      </c>
      <c r="H32" s="24">
        <f>G32/100000</f>
        <v/>
      </c>
    </row>
    <row r="33">
      <c r="B33" s="23" t="n">
        <v>18</v>
      </c>
      <c r="C33" s="23">
        <f>MAX(0,B33-$C$6)</f>
        <v/>
      </c>
      <c r="D33" s="10">
        <f>C33*$D$19</f>
        <v/>
      </c>
      <c r="E33" s="10">
        <f>D33*12</f>
        <v/>
      </c>
      <c r="F33" s="24">
        <f>E33/100000</f>
        <v/>
      </c>
      <c r="G33" s="10">
        <f>$C$5+E33</f>
        <v/>
      </c>
      <c r="H33" s="24">
        <f>G33/100000</f>
        <v/>
      </c>
    </row>
    <row r="34">
      <c r="B34" s="23" t="n">
        <v>19</v>
      </c>
      <c r="C34" s="23">
        <f>MAX(0,B34-$C$6)</f>
        <v/>
      </c>
      <c r="D34" s="10">
        <f>C34*$D$19</f>
        <v/>
      </c>
      <c r="E34" s="10">
        <f>D34*12</f>
        <v/>
      </c>
      <c r="F34" s="24">
        <f>E34/100000</f>
        <v/>
      </c>
      <c r="G34" s="10">
        <f>$C$5+E34</f>
        <v/>
      </c>
      <c r="H34" s="24">
        <f>G34/100000</f>
        <v/>
      </c>
    </row>
    <row r="35">
      <c r="B35" s="23" t="n">
        <v>20</v>
      </c>
      <c r="C35" s="23">
        <f>MAX(0,B35-$C$6)</f>
        <v/>
      </c>
      <c r="D35" s="10">
        <f>C35*$D$19</f>
        <v/>
      </c>
      <c r="E35" s="10">
        <f>D35*12</f>
        <v/>
      </c>
      <c r="F35" s="24">
        <f>E35/100000</f>
        <v/>
      </c>
      <c r="G35" s="10">
        <f>$C$5+E35</f>
        <v/>
      </c>
      <c r="H35" s="24">
        <f>G35/100000</f>
        <v/>
      </c>
    </row>
    <row r="36">
      <c r="B36" s="23" t="n">
        <v>21</v>
      </c>
      <c r="C36" s="23">
        <f>MAX(0,B36-$C$6)</f>
        <v/>
      </c>
      <c r="D36" s="10">
        <f>C36*$D$19</f>
        <v/>
      </c>
      <c r="E36" s="10">
        <f>D36*12</f>
        <v/>
      </c>
      <c r="F36" s="24">
        <f>E36/100000</f>
        <v/>
      </c>
      <c r="G36" s="10">
        <f>$C$5+E36</f>
        <v/>
      </c>
      <c r="H36" s="24">
        <f>G36/100000</f>
        <v/>
      </c>
    </row>
    <row r="37">
      <c r="B37" s="25" t="n">
        <v>22</v>
      </c>
      <c r="C37" s="26">
        <f>MAX(0,B37-$C$6)</f>
        <v/>
      </c>
      <c r="D37" s="27">
        <f>C37*$D$19</f>
        <v/>
      </c>
      <c r="E37" s="27">
        <f>D37*12</f>
        <v/>
      </c>
      <c r="F37" s="28">
        <f>E37/100000</f>
        <v/>
      </c>
      <c r="G37" s="27">
        <f>$C$5+E37</f>
        <v/>
      </c>
      <c r="H37" s="29">
        <f>G37/100000</f>
        <v/>
      </c>
    </row>
    <row r="38">
      <c r="B38" s="23" t="n">
        <v>23</v>
      </c>
      <c r="C38" s="23">
        <f>MAX(0,B38-$C$6)</f>
        <v/>
      </c>
      <c r="D38" s="10">
        <f>C38*$D$19</f>
        <v/>
      </c>
      <c r="E38" s="10">
        <f>D38*12</f>
        <v/>
      </c>
      <c r="F38" s="24">
        <f>E38/100000</f>
        <v/>
      </c>
      <c r="G38" s="10">
        <f>$C$5+E38</f>
        <v/>
      </c>
      <c r="H38" s="24">
        <f>G38/100000</f>
        <v/>
      </c>
    </row>
    <row r="39">
      <c r="B39" s="23" t="n">
        <v>24</v>
      </c>
      <c r="C39" s="23">
        <f>MAX(0,B39-$C$6)</f>
        <v/>
      </c>
      <c r="D39" s="10">
        <f>C39*$D$19</f>
        <v/>
      </c>
      <c r="E39" s="10">
        <f>D39*12</f>
        <v/>
      </c>
      <c r="F39" s="24">
        <f>E39/100000</f>
        <v/>
      </c>
      <c r="G39" s="10">
        <f>$C$5+E39</f>
        <v/>
      </c>
      <c r="H39" s="24">
        <f>G39/100000</f>
        <v/>
      </c>
    </row>
    <row r="40">
      <c r="B40" s="23" t="n">
        <v>25</v>
      </c>
      <c r="C40" s="23">
        <f>MAX(0,B40-$C$6)</f>
        <v/>
      </c>
      <c r="D40" s="10">
        <f>C40*$D$19</f>
        <v/>
      </c>
      <c r="E40" s="10">
        <f>D40*12</f>
        <v/>
      </c>
      <c r="F40" s="24">
        <f>E40/100000</f>
        <v/>
      </c>
      <c r="G40" s="10">
        <f>$C$5+E40</f>
        <v/>
      </c>
      <c r="H40" s="24">
        <f>G40/100000</f>
        <v/>
      </c>
    </row>
    <row r="41">
      <c r="B41" s="23" t="n">
        <v>26</v>
      </c>
      <c r="C41" s="23">
        <f>MAX(0,B41-$C$6)</f>
        <v/>
      </c>
      <c r="D41" s="10">
        <f>C41*$D$19</f>
        <v/>
      </c>
      <c r="E41" s="10">
        <f>D41*12</f>
        <v/>
      </c>
      <c r="F41" s="24">
        <f>E41/100000</f>
        <v/>
      </c>
      <c r="G41" s="10">
        <f>$C$5+E41</f>
        <v/>
      </c>
      <c r="H41" s="24">
        <f>G41/100000</f>
        <v/>
      </c>
    </row>
    <row r="42">
      <c r="B42" s="23" t="n">
        <v>27</v>
      </c>
      <c r="C42" s="23">
        <f>MAX(0,B42-$C$6)</f>
        <v/>
      </c>
      <c r="D42" s="10">
        <f>C42*$D$19</f>
        <v/>
      </c>
      <c r="E42" s="10">
        <f>D42*12</f>
        <v/>
      </c>
      <c r="F42" s="24">
        <f>E42/100000</f>
        <v/>
      </c>
      <c r="G42" s="10">
        <f>$C$5+E42</f>
        <v/>
      </c>
      <c r="H42" s="24">
        <f>G42/100000</f>
        <v/>
      </c>
    </row>
    <row r="43">
      <c r="B43" s="23" t="n">
        <v>28</v>
      </c>
      <c r="C43" s="23">
        <f>MAX(0,B43-$C$6)</f>
        <v/>
      </c>
      <c r="D43" s="10">
        <f>C43*$D$19</f>
        <v/>
      </c>
      <c r="E43" s="10">
        <f>D43*12</f>
        <v/>
      </c>
      <c r="F43" s="24">
        <f>E43/100000</f>
        <v/>
      </c>
      <c r="G43" s="10">
        <f>$C$5+E43</f>
        <v/>
      </c>
      <c r="H43" s="24">
        <f>G43/100000</f>
        <v/>
      </c>
    </row>
    <row r="44">
      <c r="B44" s="23" t="n">
        <v>29</v>
      </c>
      <c r="C44" s="23">
        <f>MAX(0,B44-$C$6)</f>
        <v/>
      </c>
      <c r="D44" s="10">
        <f>C44*$D$19</f>
        <v/>
      </c>
      <c r="E44" s="10">
        <f>D44*12</f>
        <v/>
      </c>
      <c r="F44" s="24">
        <f>E44/100000</f>
        <v/>
      </c>
      <c r="G44" s="10">
        <f>$C$5+E44</f>
        <v/>
      </c>
      <c r="H44" s="24">
        <f>G44/100000</f>
        <v/>
      </c>
    </row>
    <row r="45">
      <c r="B45" s="25" t="n">
        <v>30</v>
      </c>
      <c r="C45" s="26">
        <f>MAX(0,B45-$C$6)</f>
        <v/>
      </c>
      <c r="D45" s="27">
        <f>C45*$D$19</f>
        <v/>
      </c>
      <c r="E45" s="27">
        <f>D45*12</f>
        <v/>
      </c>
      <c r="F45" s="28">
        <f>E45/100000</f>
        <v/>
      </c>
      <c r="G45" s="27">
        <f>$C$5+E45</f>
        <v/>
      </c>
      <c r="H45" s="29">
        <f>G45/100000</f>
        <v/>
      </c>
    </row>
    <row r="46">
      <c r="B46" s="23" t="n">
        <v>31</v>
      </c>
      <c r="C46" s="23">
        <f>MAX(0,B46-$C$6)</f>
        <v/>
      </c>
      <c r="D46" s="10">
        <f>C46*$D$19</f>
        <v/>
      </c>
      <c r="E46" s="10">
        <f>D46*12</f>
        <v/>
      </c>
      <c r="F46" s="24">
        <f>E46/100000</f>
        <v/>
      </c>
      <c r="G46" s="10">
        <f>$C$5+E46</f>
        <v/>
      </c>
      <c r="H46" s="24">
        <f>G46/100000</f>
        <v/>
      </c>
    </row>
    <row r="47">
      <c r="B47" s="23" t="n">
        <v>32</v>
      </c>
      <c r="C47" s="23">
        <f>MAX(0,B47-$C$6)</f>
        <v/>
      </c>
      <c r="D47" s="10">
        <f>C47*$D$19</f>
        <v/>
      </c>
      <c r="E47" s="10">
        <f>D47*12</f>
        <v/>
      </c>
      <c r="F47" s="24">
        <f>E47/100000</f>
        <v/>
      </c>
      <c r="G47" s="10">
        <f>$C$5+E47</f>
        <v/>
      </c>
      <c r="H47" s="24">
        <f>G47/100000</f>
        <v/>
      </c>
    </row>
    <row r="48">
      <c r="B48" s="23" t="n">
        <v>33</v>
      </c>
      <c r="C48" s="23">
        <f>MAX(0,B48-$C$6)</f>
        <v/>
      </c>
      <c r="D48" s="10">
        <f>C48*$D$19</f>
        <v/>
      </c>
      <c r="E48" s="10">
        <f>D48*12</f>
        <v/>
      </c>
      <c r="F48" s="24">
        <f>E48/100000</f>
        <v/>
      </c>
      <c r="G48" s="10">
        <f>$C$5+E48</f>
        <v/>
      </c>
      <c r="H48" s="24">
        <f>G48/100000</f>
        <v/>
      </c>
    </row>
    <row r="49">
      <c r="B49" s="23" t="n">
        <v>34</v>
      </c>
      <c r="C49" s="23">
        <f>MAX(0,B49-$C$6)</f>
        <v/>
      </c>
      <c r="D49" s="10">
        <f>C49*$D$19</f>
        <v/>
      </c>
      <c r="E49" s="10">
        <f>D49*12</f>
        <v/>
      </c>
      <c r="F49" s="24">
        <f>E49/100000</f>
        <v/>
      </c>
      <c r="G49" s="10">
        <f>$C$5+E49</f>
        <v/>
      </c>
      <c r="H49" s="24">
        <f>G49/100000</f>
        <v/>
      </c>
    </row>
    <row r="50">
      <c r="B50" s="23" t="n">
        <v>35</v>
      </c>
      <c r="C50" s="23">
        <f>MAX(0,B50-$C$6)</f>
        <v/>
      </c>
      <c r="D50" s="10">
        <f>C50*$D$19</f>
        <v/>
      </c>
      <c r="E50" s="10">
        <f>D50*12</f>
        <v/>
      </c>
      <c r="F50" s="24">
        <f>E50/100000</f>
        <v/>
      </c>
      <c r="G50" s="10">
        <f>$C$5+E50</f>
        <v/>
      </c>
      <c r="H50" s="24">
        <f>G50/100000</f>
        <v/>
      </c>
    </row>
    <row r="52">
      <c r="B52" s="12" t="inlineStr">
        <is>
          <t>KEY SCENARIOS  (green rows above)</t>
        </is>
      </c>
    </row>
    <row r="53">
      <c r="B53" s="7" t="inlineStr">
        <is>
          <t>Scenario</t>
        </is>
      </c>
      <c r="C53" s="7" t="inlineStr">
        <is>
          <t>Clients/month</t>
        </is>
      </c>
      <c r="D53" s="7" t="inlineStr">
        <is>
          <t>Total CTC (Rs L)</t>
        </is>
      </c>
    </row>
    <row r="54">
      <c r="B54" s="4" t="inlineStr">
        <is>
          <t>Current founder pace</t>
        </is>
      </c>
      <c r="C54" s="23" t="n">
        <v>12</v>
      </c>
      <c r="D54" s="29">
        <f>H27</f>
        <v/>
      </c>
    </row>
    <row r="55">
      <c r="B55" s="4" t="inlineStr">
        <is>
          <t>Year-1 realistic</t>
        </is>
      </c>
      <c r="C55" s="23" t="n">
        <v>16</v>
      </c>
      <c r="D55" s="29">
        <f>H31</f>
        <v/>
      </c>
    </row>
    <row r="56">
      <c r="B56" s="4" t="inlineStr">
        <is>
          <t>On-target (OTE)</t>
        </is>
      </c>
      <c r="C56" s="23" t="n">
        <v>22</v>
      </c>
      <c r="D56" s="29">
        <f>H37</f>
        <v/>
      </c>
    </row>
    <row r="57">
      <c r="B57" s="4" t="inlineStr">
        <is>
          <t>Stretch ceiling</t>
        </is>
      </c>
      <c r="C57" s="23" t="n">
        <v>30</v>
      </c>
      <c r="D57" s="29">
        <f>H45</f>
        <v/>
      </c>
    </row>
  </sheetData>
  <mergeCells count="6">
    <mergeCell ref="C9:F9"/>
    <mergeCell ref="B52:H52"/>
    <mergeCell ref="B4:H4"/>
    <mergeCell ref="B11:F11"/>
    <mergeCell ref="B21:H21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 ht="34" customHeight="1">
      <c r="B2" s="1" t="inlineStr">
        <is>
          <t>Compensation Plan  -  MRR Model (Alternative)</t>
        </is>
      </c>
    </row>
    <row r="3" ht="20" customHeight="1">
      <c r="B3" s="2" t="inlineStr">
        <is>
          <t>Commission = 25% of the new monthly revenue you add, above a floor</t>
        </is>
      </c>
    </row>
    <row r="5">
      <c r="B5" s="3" t="inlineStr">
        <is>
          <t>The Package</t>
        </is>
      </c>
    </row>
    <row r="6">
      <c r="B6" s="4" t="inlineStr">
        <is>
          <t>Fixed base salary</t>
        </is>
      </c>
      <c r="C6" s="5" t="inlineStr">
        <is>
          <t>Rs 16,00,000 / year</t>
        </is>
      </c>
    </row>
    <row r="7">
      <c r="B7" s="4" t="inlineStr">
        <is>
          <t>Commission</t>
        </is>
      </c>
      <c r="C7" s="5" t="inlineStr">
        <is>
          <t>25% of new monthly recurring revenue (MRR) you add, above a floor</t>
        </is>
      </c>
    </row>
    <row r="8">
      <c r="B8" s="4" t="inlineStr">
        <is>
          <t>MRR floor</t>
        </is>
      </c>
      <c r="C8" s="5" t="inlineStr">
        <is>
          <t>First $2,400/mo of new MRR (about 8 avg clients) is covered by your base</t>
        </is>
      </c>
    </row>
    <row r="9">
      <c r="B9" s="4" t="inlineStr">
        <is>
          <t>Payout</t>
        </is>
      </c>
      <c r="C9" s="5" t="inlineStr">
        <is>
          <t>Split across month 1 and month 3 as the client sticks</t>
        </is>
      </c>
    </row>
    <row r="11">
      <c r="B11" s="3" t="inlineStr">
        <is>
          <t>How it works</t>
        </is>
      </c>
    </row>
    <row r="12" ht="30" customHeight="1">
      <c r="B12" s="6" t="inlineStr">
        <is>
          <t>1.  Your Rs 16L base is the fixed floor.</t>
        </is>
      </c>
    </row>
    <row r="13" ht="30" customHeight="1">
      <c r="B13" s="6" t="inlineStr">
        <is>
          <t>2.  Each month, the clients you close add up to some new monthly revenue (MRR) for MerchantBots.</t>
        </is>
      </c>
    </row>
    <row r="14" ht="30" customHeight="1">
      <c r="B14" s="6" t="inlineStr">
        <is>
          <t>3.  The first $2,400 of new MRR each month is covered by your base salary (no commission). This is your baseline, equal to about 8 average clients.</t>
        </is>
      </c>
    </row>
    <row r="15" ht="30" customHeight="1">
      <c r="B15" s="6" t="inlineStr">
        <is>
          <t>4.  On every dollar of new MRR above $2,400, you earn 25%.</t>
        </is>
      </c>
    </row>
    <row r="16" ht="30" customHeight="1">
      <c r="B16" s="6" t="inlineStr">
        <is>
          <t>5.  Bigger clients clear the floor faster and push more into commission, so landing larger brands pays off directly.</t>
        </is>
      </c>
    </row>
    <row r="17" ht="30" customHeight="1">
      <c r="B17" s="6" t="inlineStr">
        <is>
          <t>6.  Payout is split across month 1 and month 3, so you are paid as the client stays. If a client churns before month 3, the second tranche is not paid.</t>
        </is>
      </c>
    </row>
    <row r="19">
      <c r="B19" s="3" t="inlineStr">
        <is>
          <t>Why this model</t>
        </is>
      </c>
    </row>
    <row r="20" ht="28" customHeight="1">
      <c r="B20" s="6" t="inlineStr">
        <is>
          <t>Your pay scales directly with the revenue you bring in, so your incentive and the company's revenue point at exactly the same thing.</t>
        </is>
      </c>
    </row>
    <row r="21" ht="28" customHeight="1">
      <c r="B21" s="6" t="inlineStr">
        <is>
          <t>It is simple to calculate: one rate (25%) on one number (new MRR above the floor). No bands, no lookups.</t>
        </is>
      </c>
    </row>
    <row r="22" ht="28" customHeight="1">
      <c r="B22" s="6" t="inlineStr">
        <is>
          <t>The floor means your base salary buys a baseline of output, and commission rewards everything above it.</t>
        </is>
      </c>
    </row>
    <row r="24">
      <c r="B24" s="3" t="inlineStr">
        <is>
          <t>Worked example: a 15-client month</t>
        </is>
      </c>
    </row>
    <row r="25" ht="26" customHeight="1">
      <c r="B25" s="6" t="inlineStr">
        <is>
          <t>You close 15 clients averaging $300/month each = $4,500 of new MRR.</t>
        </is>
      </c>
    </row>
    <row r="26" ht="26" customHeight="1">
      <c r="B26" s="6" t="inlineStr">
        <is>
          <t>Above the floor: $4,500 - $2,400 = $2,100 is commissionable.</t>
        </is>
      </c>
    </row>
    <row r="27" ht="26" customHeight="1">
      <c r="B27" s="6" t="inlineStr">
        <is>
          <t>Commission = 25% x $2,100 = $525/month = Rs 42,000/month (at Rs 80/$).</t>
        </is>
      </c>
    </row>
    <row r="28" ht="26" customHeight="1">
      <c r="B28" s="6" t="inlineStr">
        <is>
          <t>Annualised at that pace = ~Rs 5L commission, taking total comp to ~Rs 21L.</t>
        </is>
      </c>
    </row>
  </sheetData>
  <mergeCells count="23">
    <mergeCell ref="C9:E9"/>
    <mergeCell ref="B15:E15"/>
    <mergeCell ref="B24:E24"/>
    <mergeCell ref="B5:E5"/>
    <mergeCell ref="B20:E20"/>
    <mergeCell ref="B26:E26"/>
    <mergeCell ref="C8:E8"/>
    <mergeCell ref="B16:E16"/>
    <mergeCell ref="B25:E25"/>
    <mergeCell ref="B3:E3"/>
    <mergeCell ref="C7:E7"/>
    <mergeCell ref="B22:E22"/>
    <mergeCell ref="B27:E27"/>
    <mergeCell ref="B12:E12"/>
    <mergeCell ref="B21:E21"/>
    <mergeCell ref="B11:E11"/>
    <mergeCell ref="B2:E2"/>
    <mergeCell ref="B14:E14"/>
    <mergeCell ref="C6:E6"/>
    <mergeCell ref="B17:E17"/>
    <mergeCell ref="B13:E13"/>
    <mergeCell ref="B19:E19"/>
    <mergeCell ref="B28:E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 ht="30" customHeight="1">
      <c r="B2" s="11" t="inlineStr">
        <is>
          <t>MRR Model  -  edit the yellow cells to test scenarios</t>
        </is>
      </c>
    </row>
    <row r="4">
      <c r="B4" s="12" t="inlineStr">
        <is>
          <t>INPUTS</t>
        </is>
      </c>
    </row>
    <row r="5">
      <c r="B5" s="4" t="inlineStr">
        <is>
          <t>Fixed base salary (Rs / year)</t>
        </is>
      </c>
      <c r="C5" s="13" t="n">
        <v>1600000</v>
      </c>
    </row>
    <row r="6">
      <c r="B6" s="4" t="inlineStr">
        <is>
          <t>Commission rate (% of new MRR above floor)</t>
        </is>
      </c>
      <c r="C6" s="15" t="n">
        <v>0.25</v>
      </c>
    </row>
    <row r="7">
      <c r="B7" s="4" t="inlineStr">
        <is>
          <t>Avg MRR per client ($ / month)</t>
        </is>
      </c>
      <c r="C7" s="30" t="n">
        <v>300</v>
      </c>
    </row>
    <row r="8">
      <c r="B8" s="4" t="inlineStr">
        <is>
          <t>FX rate (Rs per $)</t>
        </is>
      </c>
      <c r="C8" s="14" t="n">
        <v>80</v>
      </c>
    </row>
    <row r="9">
      <c r="B9" s="4" t="inlineStr">
        <is>
          <t>MRR floor ($/mo of new MRR, no commission below)</t>
        </is>
      </c>
      <c r="C9" s="30" t="n">
        <v>2400</v>
      </c>
    </row>
    <row r="10">
      <c r="B10" s="5" t="inlineStr">
        <is>
          <t>Payout split (info only)</t>
        </is>
      </c>
      <c r="C10" s="16" t="inlineStr">
        <is>
          <t>50% month 1 / 50% month 3</t>
        </is>
      </c>
    </row>
    <row r="12">
      <c r="B12" s="20" t="inlineStr">
        <is>
          <t>Avg commission per client above floor (Rs)</t>
        </is>
      </c>
      <c r="C12" s="21">
        <f>$C$6*$C$7*$C$8</f>
        <v/>
      </c>
    </row>
    <row r="13">
      <c r="B13" s="20" t="inlineStr">
        <is>
          <t>Floor expressed in clients (= floor / avg MRR)</t>
        </is>
      </c>
      <c r="C13" s="31">
        <f>$C$9/$C$7</f>
        <v/>
      </c>
    </row>
    <row r="15">
      <c r="B15" s="12" t="inlineStr">
        <is>
          <t>EARNINGS BY MONTHLY CLOSE RATE</t>
        </is>
      </c>
    </row>
    <row r="16" ht="42" customHeight="1">
      <c r="B16" s="22" t="inlineStr">
        <is>
          <t>Clients / month</t>
        </is>
      </c>
      <c r="C16" s="22" t="inlineStr">
        <is>
          <t>New MRR/mo ($)</t>
        </is>
      </c>
      <c r="D16" s="22" t="inlineStr">
        <is>
          <t>Commissionable MRR ($)</t>
        </is>
      </c>
      <c r="E16" s="22" t="inlineStr">
        <is>
          <t>Monthly commission (Rs)</t>
        </is>
      </c>
      <c r="F16" s="22" t="inlineStr">
        <is>
          <t>Annual variable (Rs L)</t>
        </is>
      </c>
      <c r="G16" s="22" t="inlineStr">
        <is>
          <t>Total CTC (Rs L)</t>
        </is>
      </c>
    </row>
    <row r="17">
      <c r="B17" s="23" t="n">
        <v>8</v>
      </c>
      <c r="C17" s="32">
        <f>B17*$C$7</f>
        <v/>
      </c>
      <c r="D17" s="32">
        <f>MAX(0,C17-$C$9)</f>
        <v/>
      </c>
      <c r="E17" s="10">
        <f>$C$6*D17*$C$8</f>
        <v/>
      </c>
      <c r="F17" s="24">
        <f>E17*12/100000</f>
        <v/>
      </c>
      <c r="G17" s="24">
        <f>($C$5+E17*12)/100000</f>
        <v/>
      </c>
    </row>
    <row r="18">
      <c r="B18" s="23" t="n">
        <v>9</v>
      </c>
      <c r="C18" s="32">
        <f>B18*$C$7</f>
        <v/>
      </c>
      <c r="D18" s="32">
        <f>MAX(0,C18-$C$9)</f>
        <v/>
      </c>
      <c r="E18" s="10">
        <f>$C$6*D18*$C$8</f>
        <v/>
      </c>
      <c r="F18" s="24">
        <f>E18*12/100000</f>
        <v/>
      </c>
      <c r="G18" s="24">
        <f>($C$5+E18*12)/100000</f>
        <v/>
      </c>
    </row>
    <row r="19">
      <c r="B19" s="23" t="n">
        <v>10</v>
      </c>
      <c r="C19" s="32">
        <f>B19*$C$7</f>
        <v/>
      </c>
      <c r="D19" s="32">
        <f>MAX(0,C19-$C$9)</f>
        <v/>
      </c>
      <c r="E19" s="10">
        <f>$C$6*D19*$C$8</f>
        <v/>
      </c>
      <c r="F19" s="24">
        <f>E19*12/100000</f>
        <v/>
      </c>
      <c r="G19" s="24">
        <f>($C$5+E19*12)/100000</f>
        <v/>
      </c>
    </row>
    <row r="20">
      <c r="B20" s="23" t="n">
        <v>11</v>
      </c>
      <c r="C20" s="32">
        <f>B20*$C$7</f>
        <v/>
      </c>
      <c r="D20" s="32">
        <f>MAX(0,C20-$C$9)</f>
        <v/>
      </c>
      <c r="E20" s="10">
        <f>$C$6*D20*$C$8</f>
        <v/>
      </c>
      <c r="F20" s="24">
        <f>E20*12/100000</f>
        <v/>
      </c>
      <c r="G20" s="24">
        <f>($C$5+E20*12)/100000</f>
        <v/>
      </c>
    </row>
    <row r="21">
      <c r="B21" s="25" t="n">
        <v>12</v>
      </c>
      <c r="C21" s="33">
        <f>B21*$C$7</f>
        <v/>
      </c>
      <c r="D21" s="33">
        <f>MAX(0,C21-$C$9)</f>
        <v/>
      </c>
      <c r="E21" s="27">
        <f>$C$6*D21*$C$8</f>
        <v/>
      </c>
      <c r="F21" s="28">
        <f>E21*12/100000</f>
        <v/>
      </c>
      <c r="G21" s="29">
        <f>($C$5+E21*12)/100000</f>
        <v/>
      </c>
    </row>
    <row r="22">
      <c r="B22" s="23" t="n">
        <v>13</v>
      </c>
      <c r="C22" s="32">
        <f>B22*$C$7</f>
        <v/>
      </c>
      <c r="D22" s="32">
        <f>MAX(0,C22-$C$9)</f>
        <v/>
      </c>
      <c r="E22" s="10">
        <f>$C$6*D22*$C$8</f>
        <v/>
      </c>
      <c r="F22" s="24">
        <f>E22*12/100000</f>
        <v/>
      </c>
      <c r="G22" s="24">
        <f>($C$5+E22*12)/100000</f>
        <v/>
      </c>
    </row>
    <row r="23">
      <c r="B23" s="23" t="n">
        <v>14</v>
      </c>
      <c r="C23" s="32">
        <f>B23*$C$7</f>
        <v/>
      </c>
      <c r="D23" s="32">
        <f>MAX(0,C23-$C$9)</f>
        <v/>
      </c>
      <c r="E23" s="10">
        <f>$C$6*D23*$C$8</f>
        <v/>
      </c>
      <c r="F23" s="24">
        <f>E23*12/100000</f>
        <v/>
      </c>
      <c r="G23" s="24">
        <f>($C$5+E23*12)/100000</f>
        <v/>
      </c>
    </row>
    <row r="24">
      <c r="B24" s="23" t="n">
        <v>15</v>
      </c>
      <c r="C24" s="32">
        <f>B24*$C$7</f>
        <v/>
      </c>
      <c r="D24" s="32">
        <f>MAX(0,C24-$C$9)</f>
        <v/>
      </c>
      <c r="E24" s="10">
        <f>$C$6*D24*$C$8</f>
        <v/>
      </c>
      <c r="F24" s="24">
        <f>E24*12/100000</f>
        <v/>
      </c>
      <c r="G24" s="24">
        <f>($C$5+E24*12)/100000</f>
        <v/>
      </c>
    </row>
    <row r="25">
      <c r="B25" s="25" t="n">
        <v>16</v>
      </c>
      <c r="C25" s="33">
        <f>B25*$C$7</f>
        <v/>
      </c>
      <c r="D25" s="33">
        <f>MAX(0,C25-$C$9)</f>
        <v/>
      </c>
      <c r="E25" s="27">
        <f>$C$6*D25*$C$8</f>
        <v/>
      </c>
      <c r="F25" s="28">
        <f>E25*12/100000</f>
        <v/>
      </c>
      <c r="G25" s="29">
        <f>($C$5+E25*12)/100000</f>
        <v/>
      </c>
    </row>
    <row r="26">
      <c r="B26" s="23" t="n">
        <v>17</v>
      </c>
      <c r="C26" s="32">
        <f>B26*$C$7</f>
        <v/>
      </c>
      <c r="D26" s="32">
        <f>MAX(0,C26-$C$9)</f>
        <v/>
      </c>
      <c r="E26" s="10">
        <f>$C$6*D26*$C$8</f>
        <v/>
      </c>
      <c r="F26" s="24">
        <f>E26*12/100000</f>
        <v/>
      </c>
      <c r="G26" s="24">
        <f>($C$5+E26*12)/100000</f>
        <v/>
      </c>
    </row>
    <row r="27">
      <c r="B27" s="23" t="n">
        <v>18</v>
      </c>
      <c r="C27" s="32">
        <f>B27*$C$7</f>
        <v/>
      </c>
      <c r="D27" s="32">
        <f>MAX(0,C27-$C$9)</f>
        <v/>
      </c>
      <c r="E27" s="10">
        <f>$C$6*D27*$C$8</f>
        <v/>
      </c>
      <c r="F27" s="24">
        <f>E27*12/100000</f>
        <v/>
      </c>
      <c r="G27" s="24">
        <f>($C$5+E27*12)/100000</f>
        <v/>
      </c>
    </row>
    <row r="28">
      <c r="B28" s="23" t="n">
        <v>19</v>
      </c>
      <c r="C28" s="32">
        <f>B28*$C$7</f>
        <v/>
      </c>
      <c r="D28" s="32">
        <f>MAX(0,C28-$C$9)</f>
        <v/>
      </c>
      <c r="E28" s="10">
        <f>$C$6*D28*$C$8</f>
        <v/>
      </c>
      <c r="F28" s="24">
        <f>E28*12/100000</f>
        <v/>
      </c>
      <c r="G28" s="24">
        <f>($C$5+E28*12)/100000</f>
        <v/>
      </c>
    </row>
    <row r="29">
      <c r="B29" s="23" t="n">
        <v>20</v>
      </c>
      <c r="C29" s="32">
        <f>B29*$C$7</f>
        <v/>
      </c>
      <c r="D29" s="32">
        <f>MAX(0,C29-$C$9)</f>
        <v/>
      </c>
      <c r="E29" s="10">
        <f>$C$6*D29*$C$8</f>
        <v/>
      </c>
      <c r="F29" s="24">
        <f>E29*12/100000</f>
        <v/>
      </c>
      <c r="G29" s="24">
        <f>($C$5+E29*12)/100000</f>
        <v/>
      </c>
    </row>
    <row r="30">
      <c r="B30" s="23" t="n">
        <v>21</v>
      </c>
      <c r="C30" s="32">
        <f>B30*$C$7</f>
        <v/>
      </c>
      <c r="D30" s="32">
        <f>MAX(0,C30-$C$9)</f>
        <v/>
      </c>
      <c r="E30" s="10">
        <f>$C$6*D30*$C$8</f>
        <v/>
      </c>
      <c r="F30" s="24">
        <f>E30*12/100000</f>
        <v/>
      </c>
      <c r="G30" s="24">
        <f>($C$5+E30*12)/100000</f>
        <v/>
      </c>
    </row>
    <row r="31">
      <c r="B31" s="25" t="n">
        <v>22</v>
      </c>
      <c r="C31" s="33">
        <f>B31*$C$7</f>
        <v/>
      </c>
      <c r="D31" s="33">
        <f>MAX(0,C31-$C$9)</f>
        <v/>
      </c>
      <c r="E31" s="27">
        <f>$C$6*D31*$C$8</f>
        <v/>
      </c>
      <c r="F31" s="28">
        <f>E31*12/100000</f>
        <v/>
      </c>
      <c r="G31" s="29">
        <f>($C$5+E31*12)/100000</f>
        <v/>
      </c>
    </row>
    <row r="32">
      <c r="B32" s="23" t="n">
        <v>23</v>
      </c>
      <c r="C32" s="32">
        <f>B32*$C$7</f>
        <v/>
      </c>
      <c r="D32" s="32">
        <f>MAX(0,C32-$C$9)</f>
        <v/>
      </c>
      <c r="E32" s="10">
        <f>$C$6*D32*$C$8</f>
        <v/>
      </c>
      <c r="F32" s="24">
        <f>E32*12/100000</f>
        <v/>
      </c>
      <c r="G32" s="24">
        <f>($C$5+E32*12)/100000</f>
        <v/>
      </c>
    </row>
    <row r="33">
      <c r="B33" s="23" t="n">
        <v>24</v>
      </c>
      <c r="C33" s="32">
        <f>B33*$C$7</f>
        <v/>
      </c>
      <c r="D33" s="32">
        <f>MAX(0,C33-$C$9)</f>
        <v/>
      </c>
      <c r="E33" s="10">
        <f>$C$6*D33*$C$8</f>
        <v/>
      </c>
      <c r="F33" s="24">
        <f>E33*12/100000</f>
        <v/>
      </c>
      <c r="G33" s="24">
        <f>($C$5+E33*12)/100000</f>
        <v/>
      </c>
    </row>
    <row r="34">
      <c r="B34" s="23" t="n">
        <v>25</v>
      </c>
      <c r="C34" s="32">
        <f>B34*$C$7</f>
        <v/>
      </c>
      <c r="D34" s="32">
        <f>MAX(0,C34-$C$9)</f>
        <v/>
      </c>
      <c r="E34" s="10">
        <f>$C$6*D34*$C$8</f>
        <v/>
      </c>
      <c r="F34" s="24">
        <f>E34*12/100000</f>
        <v/>
      </c>
      <c r="G34" s="24">
        <f>($C$5+E34*12)/100000</f>
        <v/>
      </c>
    </row>
    <row r="35">
      <c r="B35" s="23" t="n">
        <v>26</v>
      </c>
      <c r="C35" s="32">
        <f>B35*$C$7</f>
        <v/>
      </c>
      <c r="D35" s="32">
        <f>MAX(0,C35-$C$9)</f>
        <v/>
      </c>
      <c r="E35" s="10">
        <f>$C$6*D35*$C$8</f>
        <v/>
      </c>
      <c r="F35" s="24">
        <f>E35*12/100000</f>
        <v/>
      </c>
      <c r="G35" s="24">
        <f>($C$5+E35*12)/100000</f>
        <v/>
      </c>
    </row>
    <row r="36">
      <c r="B36" s="23" t="n">
        <v>27</v>
      </c>
      <c r="C36" s="32">
        <f>B36*$C$7</f>
        <v/>
      </c>
      <c r="D36" s="32">
        <f>MAX(0,C36-$C$9)</f>
        <v/>
      </c>
      <c r="E36" s="10">
        <f>$C$6*D36*$C$8</f>
        <v/>
      </c>
      <c r="F36" s="24">
        <f>E36*12/100000</f>
        <v/>
      </c>
      <c r="G36" s="24">
        <f>($C$5+E36*12)/100000</f>
        <v/>
      </c>
    </row>
    <row r="37">
      <c r="B37" s="23" t="n">
        <v>28</v>
      </c>
      <c r="C37" s="32">
        <f>B37*$C$7</f>
        <v/>
      </c>
      <c r="D37" s="32">
        <f>MAX(0,C37-$C$9)</f>
        <v/>
      </c>
      <c r="E37" s="10">
        <f>$C$6*D37*$C$8</f>
        <v/>
      </c>
      <c r="F37" s="24">
        <f>E37*12/100000</f>
        <v/>
      </c>
      <c r="G37" s="24">
        <f>($C$5+E37*12)/100000</f>
        <v/>
      </c>
    </row>
    <row r="38">
      <c r="B38" s="23" t="n">
        <v>29</v>
      </c>
      <c r="C38" s="32">
        <f>B38*$C$7</f>
        <v/>
      </c>
      <c r="D38" s="32">
        <f>MAX(0,C38-$C$9)</f>
        <v/>
      </c>
      <c r="E38" s="10">
        <f>$C$6*D38*$C$8</f>
        <v/>
      </c>
      <c r="F38" s="24">
        <f>E38*12/100000</f>
        <v/>
      </c>
      <c r="G38" s="24">
        <f>($C$5+E38*12)/100000</f>
        <v/>
      </c>
    </row>
    <row r="39">
      <c r="B39" s="25" t="n">
        <v>30</v>
      </c>
      <c r="C39" s="33">
        <f>B39*$C$7</f>
        <v/>
      </c>
      <c r="D39" s="33">
        <f>MAX(0,C39-$C$9)</f>
        <v/>
      </c>
      <c r="E39" s="27">
        <f>$C$6*D39*$C$8</f>
        <v/>
      </c>
      <c r="F39" s="28">
        <f>E39*12/100000</f>
        <v/>
      </c>
      <c r="G39" s="29">
        <f>($C$5+E39*12)/100000</f>
        <v/>
      </c>
    </row>
    <row r="40">
      <c r="B40" s="23" t="n">
        <v>31</v>
      </c>
      <c r="C40" s="32">
        <f>B40*$C$7</f>
        <v/>
      </c>
      <c r="D40" s="32">
        <f>MAX(0,C40-$C$9)</f>
        <v/>
      </c>
      <c r="E40" s="10">
        <f>$C$6*D40*$C$8</f>
        <v/>
      </c>
      <c r="F40" s="24">
        <f>E40*12/100000</f>
        <v/>
      </c>
      <c r="G40" s="24">
        <f>($C$5+E40*12)/100000</f>
        <v/>
      </c>
    </row>
    <row r="41">
      <c r="B41" s="23" t="n">
        <v>32</v>
      </c>
      <c r="C41" s="32">
        <f>B41*$C$7</f>
        <v/>
      </c>
      <c r="D41" s="32">
        <f>MAX(0,C41-$C$9)</f>
        <v/>
      </c>
      <c r="E41" s="10">
        <f>$C$6*D41*$C$8</f>
        <v/>
      </c>
      <c r="F41" s="24">
        <f>E41*12/100000</f>
        <v/>
      </c>
      <c r="G41" s="24">
        <f>($C$5+E41*12)/100000</f>
        <v/>
      </c>
    </row>
    <row r="42">
      <c r="B42" s="23" t="n">
        <v>33</v>
      </c>
      <c r="C42" s="32">
        <f>B42*$C$7</f>
        <v/>
      </c>
      <c r="D42" s="32">
        <f>MAX(0,C42-$C$9)</f>
        <v/>
      </c>
      <c r="E42" s="10">
        <f>$C$6*D42*$C$8</f>
        <v/>
      </c>
      <c r="F42" s="24">
        <f>E42*12/100000</f>
        <v/>
      </c>
      <c r="G42" s="24">
        <f>($C$5+E42*12)/100000</f>
        <v/>
      </c>
    </row>
    <row r="43">
      <c r="B43" s="23" t="n">
        <v>34</v>
      </c>
      <c r="C43" s="32">
        <f>B43*$C$7</f>
        <v/>
      </c>
      <c r="D43" s="32">
        <f>MAX(0,C43-$C$9)</f>
        <v/>
      </c>
      <c r="E43" s="10">
        <f>$C$6*D43*$C$8</f>
        <v/>
      </c>
      <c r="F43" s="24">
        <f>E43*12/100000</f>
        <v/>
      </c>
      <c r="G43" s="24">
        <f>($C$5+E43*12)/100000</f>
        <v/>
      </c>
    </row>
    <row r="44">
      <c r="B44" s="23" t="n">
        <v>35</v>
      </c>
      <c r="C44" s="32">
        <f>B44*$C$7</f>
        <v/>
      </c>
      <c r="D44" s="32">
        <f>MAX(0,C44-$C$9)</f>
        <v/>
      </c>
      <c r="E44" s="10">
        <f>$C$6*D44*$C$8</f>
        <v/>
      </c>
      <c r="F44" s="24">
        <f>E44*12/100000</f>
        <v/>
      </c>
      <c r="G44" s="24">
        <f>($C$5+E44*12)/100000</f>
        <v/>
      </c>
    </row>
    <row r="46">
      <c r="B46" s="12" t="inlineStr">
        <is>
          <t>KEY SCENARIOS  (green rows above)</t>
        </is>
      </c>
    </row>
    <row r="47">
      <c r="B47" s="7" t="inlineStr">
        <is>
          <t>Scenario</t>
        </is>
      </c>
      <c r="C47" s="7" t="inlineStr">
        <is>
          <t>Clients/month</t>
        </is>
      </c>
      <c r="D47" s="7" t="inlineStr">
        <is>
          <t>Total CTC (Rs L)</t>
        </is>
      </c>
    </row>
    <row r="48">
      <c r="B48" s="4" t="inlineStr">
        <is>
          <t>Current founder pace</t>
        </is>
      </c>
      <c r="C48" s="23" t="n">
        <v>12</v>
      </c>
      <c r="D48" s="29">
        <f>G21</f>
        <v/>
      </c>
    </row>
    <row r="49">
      <c r="B49" s="4" t="inlineStr">
        <is>
          <t>Year-1 realistic</t>
        </is>
      </c>
      <c r="C49" s="23" t="n">
        <v>16</v>
      </c>
      <c r="D49" s="29">
        <f>G25</f>
        <v/>
      </c>
    </row>
    <row r="50">
      <c r="B50" s="4" t="inlineStr">
        <is>
          <t>On-target (OTE)</t>
        </is>
      </c>
      <c r="C50" s="23" t="n">
        <v>22</v>
      </c>
      <c r="D50" s="29">
        <f>G31</f>
        <v/>
      </c>
    </row>
    <row r="51">
      <c r="B51" s="4" t="inlineStr">
        <is>
          <t>Stretch ceiling</t>
        </is>
      </c>
      <c r="C51" s="23" t="n">
        <v>30</v>
      </c>
      <c r="D51" s="29">
        <f>G39</f>
        <v/>
      </c>
    </row>
  </sheetData>
  <mergeCells count="5">
    <mergeCell ref="B2:G2"/>
    <mergeCell ref="B46:G46"/>
    <mergeCell ref="B4:G4"/>
    <mergeCell ref="C10:F10"/>
    <mergeCell ref="B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 ht="30" customHeight="1">
      <c r="B2" s="11" t="inlineStr">
        <is>
          <t>MRR + Onboarding Model  -  edit the yellow cells to test scenarios</t>
        </is>
      </c>
    </row>
    <row r="4">
      <c r="B4" s="12" t="inlineStr">
        <is>
          <t>INPUTS</t>
        </is>
      </c>
    </row>
    <row r="5">
      <c r="B5" s="4" t="inlineStr">
        <is>
          <t>Fixed base salary (Rs / year)</t>
        </is>
      </c>
      <c r="C5" s="13" t="n">
        <v>1600000</v>
      </c>
    </row>
    <row r="6">
      <c r="B6" s="4" t="inlineStr">
        <is>
          <t>Commission rate (% of new MRR above floor)</t>
        </is>
      </c>
      <c r="C6" s="15" t="n">
        <v>0.25</v>
      </c>
    </row>
    <row r="7">
      <c r="B7" s="4" t="inlineStr">
        <is>
          <t>Avg MRR per regular client ($ / month)</t>
        </is>
      </c>
      <c r="C7" s="30" t="n">
        <v>300</v>
      </c>
    </row>
    <row r="8">
      <c r="B8" s="4" t="inlineStr">
        <is>
          <t>FX rate (Rs per $)</t>
        </is>
      </c>
      <c r="C8" s="14" t="n">
        <v>80</v>
      </c>
    </row>
    <row r="9">
      <c r="B9" s="4" t="inlineStr">
        <is>
          <t>MRR floor ($/mo of new MRR, no commission below)</t>
        </is>
      </c>
      <c r="C9" s="30" t="n">
        <v>2400</v>
      </c>
    </row>
    <row r="10">
      <c r="B10" s="4" t="inlineStr">
        <is>
          <t>Onboarding fee ($)</t>
        </is>
      </c>
      <c r="C10" s="30" t="n">
        <v>500</v>
      </c>
    </row>
    <row r="11">
      <c r="B11" s="4" t="inlineStr">
        <is>
          <t>Onboarding commission rate (%)</t>
        </is>
      </c>
      <c r="C11" s="15" t="n">
        <v>0.1</v>
      </c>
    </row>
    <row r="12">
      <c r="B12" s="4" t="inlineStr">
        <is>
          <t>% of monthly closes that are onboarding clients</t>
        </is>
      </c>
      <c r="C12" s="15" t="n">
        <v>0.2</v>
      </c>
    </row>
    <row r="13">
      <c r="B13" s="5" t="inlineStr">
        <is>
          <t>Payout split (info only)</t>
        </is>
      </c>
      <c r="C13" s="16" t="inlineStr">
        <is>
          <t>50% month 1 / 50% month 3</t>
        </is>
      </c>
    </row>
    <row r="15">
      <c r="B15" s="20" t="inlineStr">
        <is>
          <t>Onboarding commission per client (Rs) = onb rate x fee x FX</t>
        </is>
      </c>
      <c r="C15" s="21">
        <f>$C$11*$C$10*$C$8</f>
        <v/>
      </c>
    </row>
    <row r="16">
      <c r="B16" s="20" t="inlineStr">
        <is>
          <t>Avg MRR commission per regular client above floor (Rs)</t>
        </is>
      </c>
      <c r="C16" s="21">
        <f>$C$6*$C$7*$C$8</f>
        <v/>
      </c>
    </row>
    <row r="17">
      <c r="B17" s="20" t="inlineStr">
        <is>
          <t>Floor in regular clients (= floor / avg MRR)</t>
        </is>
      </c>
      <c r="C17" s="31">
        <f>$C$9/$C$7</f>
        <v/>
      </c>
    </row>
    <row r="19" ht="30" customHeight="1">
      <c r="B19" s="34" t="inlineStr">
        <is>
          <t>Note: onboarding clients are small brands with negligible recurring, so they do not add to the MRR pool. They earn the onboarding commission only. Regular (MRR) clients = total closes x (1 - onboarding %).</t>
        </is>
      </c>
    </row>
    <row r="21">
      <c r="B21" s="12" t="inlineStr">
        <is>
          <t>EARNINGS BY MONTHLY CLOSE RATE</t>
        </is>
      </c>
    </row>
    <row r="22" ht="52" customHeight="1">
      <c r="B22" s="35" t="inlineStr">
        <is>
          <t>Clients / month</t>
        </is>
      </c>
      <c r="C22" s="35" t="inlineStr">
        <is>
          <t>Onboarding clients</t>
        </is>
      </c>
      <c r="D22" s="35" t="inlineStr">
        <is>
          <t>New MRR/mo ($)</t>
        </is>
      </c>
      <c r="E22" s="35" t="inlineStr">
        <is>
          <t>Commissionable MRR ($)</t>
        </is>
      </c>
      <c r="F22" s="35" t="inlineStr">
        <is>
          <t>MRR commission (Rs)</t>
        </is>
      </c>
      <c r="G22" s="35" t="inlineStr">
        <is>
          <t>Onboarding commission (Rs)</t>
        </is>
      </c>
      <c r="H22" s="35" t="inlineStr">
        <is>
          <t>Total commission/mo (Rs)</t>
        </is>
      </c>
      <c r="I22" s="35" t="inlineStr">
        <is>
          <t>Annual variable (Rs L)</t>
        </is>
      </c>
      <c r="J22" s="35" t="inlineStr">
        <is>
          <t>Total CTC (Rs L)</t>
        </is>
      </c>
    </row>
    <row r="23">
      <c r="B23" s="23" t="n">
        <v>8</v>
      </c>
      <c r="C23" s="36">
        <f>B23*$C$12</f>
        <v/>
      </c>
      <c r="D23" s="32">
        <f>(B23-C23)*$C$7</f>
        <v/>
      </c>
      <c r="E23" s="32">
        <f>MAX(0,D23-$C$9)</f>
        <v/>
      </c>
      <c r="F23" s="10">
        <f>$C$6*E23*$C$8</f>
        <v/>
      </c>
      <c r="G23" s="10">
        <f>C23*$C$11*$C$10*$C$8</f>
        <v/>
      </c>
      <c r="H23" s="10">
        <f>F23+G23</f>
        <v/>
      </c>
      <c r="I23" s="24">
        <f>H23*12/100000</f>
        <v/>
      </c>
      <c r="J23" s="24">
        <f>($C$5+H23*12)/100000</f>
        <v/>
      </c>
    </row>
    <row r="24">
      <c r="B24" s="23" t="n">
        <v>9</v>
      </c>
      <c r="C24" s="36">
        <f>B24*$C$12</f>
        <v/>
      </c>
      <c r="D24" s="32">
        <f>(B24-C24)*$C$7</f>
        <v/>
      </c>
      <c r="E24" s="32">
        <f>MAX(0,D24-$C$9)</f>
        <v/>
      </c>
      <c r="F24" s="10">
        <f>$C$6*E24*$C$8</f>
        <v/>
      </c>
      <c r="G24" s="10">
        <f>C24*$C$11*$C$10*$C$8</f>
        <v/>
      </c>
      <c r="H24" s="10">
        <f>F24+G24</f>
        <v/>
      </c>
      <c r="I24" s="24">
        <f>H24*12/100000</f>
        <v/>
      </c>
      <c r="J24" s="24">
        <f>($C$5+H24*12)/100000</f>
        <v/>
      </c>
    </row>
    <row r="25">
      <c r="B25" s="23" t="n">
        <v>10</v>
      </c>
      <c r="C25" s="36">
        <f>B25*$C$12</f>
        <v/>
      </c>
      <c r="D25" s="32">
        <f>(B25-C25)*$C$7</f>
        <v/>
      </c>
      <c r="E25" s="32">
        <f>MAX(0,D25-$C$9)</f>
        <v/>
      </c>
      <c r="F25" s="10">
        <f>$C$6*E25*$C$8</f>
        <v/>
      </c>
      <c r="G25" s="10">
        <f>C25*$C$11*$C$10*$C$8</f>
        <v/>
      </c>
      <c r="H25" s="10">
        <f>F25+G25</f>
        <v/>
      </c>
      <c r="I25" s="24">
        <f>H25*12/100000</f>
        <v/>
      </c>
      <c r="J25" s="24">
        <f>($C$5+H25*12)/100000</f>
        <v/>
      </c>
    </row>
    <row r="26">
      <c r="B26" s="23" t="n">
        <v>11</v>
      </c>
      <c r="C26" s="36">
        <f>B26*$C$12</f>
        <v/>
      </c>
      <c r="D26" s="32">
        <f>(B26-C26)*$C$7</f>
        <v/>
      </c>
      <c r="E26" s="32">
        <f>MAX(0,D26-$C$9)</f>
        <v/>
      </c>
      <c r="F26" s="10">
        <f>$C$6*E26*$C$8</f>
        <v/>
      </c>
      <c r="G26" s="10">
        <f>C26*$C$11*$C$10*$C$8</f>
        <v/>
      </c>
      <c r="H26" s="10">
        <f>F26+G26</f>
        <v/>
      </c>
      <c r="I26" s="24">
        <f>H26*12/100000</f>
        <v/>
      </c>
      <c r="J26" s="24">
        <f>($C$5+H26*12)/100000</f>
        <v/>
      </c>
    </row>
    <row r="27">
      <c r="B27" s="25" t="n">
        <v>12</v>
      </c>
      <c r="C27" s="37">
        <f>B27*$C$12</f>
        <v/>
      </c>
      <c r="D27" s="33">
        <f>(B27-C27)*$C$7</f>
        <v/>
      </c>
      <c r="E27" s="33">
        <f>MAX(0,D27-$C$9)</f>
        <v/>
      </c>
      <c r="F27" s="27">
        <f>$C$6*E27*$C$8</f>
        <v/>
      </c>
      <c r="G27" s="27">
        <f>C27*$C$11*$C$10*$C$8</f>
        <v/>
      </c>
      <c r="H27" s="27">
        <f>F27+G27</f>
        <v/>
      </c>
      <c r="I27" s="28">
        <f>H27*12/100000</f>
        <v/>
      </c>
      <c r="J27" s="29">
        <f>($C$5+H27*12)/100000</f>
        <v/>
      </c>
    </row>
    <row r="28">
      <c r="B28" s="23" t="n">
        <v>13</v>
      </c>
      <c r="C28" s="36">
        <f>B28*$C$12</f>
        <v/>
      </c>
      <c r="D28" s="32">
        <f>(B28-C28)*$C$7</f>
        <v/>
      </c>
      <c r="E28" s="32">
        <f>MAX(0,D28-$C$9)</f>
        <v/>
      </c>
      <c r="F28" s="10">
        <f>$C$6*E28*$C$8</f>
        <v/>
      </c>
      <c r="G28" s="10">
        <f>C28*$C$11*$C$10*$C$8</f>
        <v/>
      </c>
      <c r="H28" s="10">
        <f>F28+G28</f>
        <v/>
      </c>
      <c r="I28" s="24">
        <f>H28*12/100000</f>
        <v/>
      </c>
      <c r="J28" s="24">
        <f>($C$5+H28*12)/100000</f>
        <v/>
      </c>
    </row>
    <row r="29">
      <c r="B29" s="23" t="n">
        <v>14</v>
      </c>
      <c r="C29" s="36">
        <f>B29*$C$12</f>
        <v/>
      </c>
      <c r="D29" s="32">
        <f>(B29-C29)*$C$7</f>
        <v/>
      </c>
      <c r="E29" s="32">
        <f>MAX(0,D29-$C$9)</f>
        <v/>
      </c>
      <c r="F29" s="10">
        <f>$C$6*E29*$C$8</f>
        <v/>
      </c>
      <c r="G29" s="10">
        <f>C29*$C$11*$C$10*$C$8</f>
        <v/>
      </c>
      <c r="H29" s="10">
        <f>F29+G29</f>
        <v/>
      </c>
      <c r="I29" s="24">
        <f>H29*12/100000</f>
        <v/>
      </c>
      <c r="J29" s="24">
        <f>($C$5+H29*12)/100000</f>
        <v/>
      </c>
    </row>
    <row r="30">
      <c r="B30" s="23" t="n">
        <v>15</v>
      </c>
      <c r="C30" s="36">
        <f>B30*$C$12</f>
        <v/>
      </c>
      <c r="D30" s="32">
        <f>(B30-C30)*$C$7</f>
        <v/>
      </c>
      <c r="E30" s="32">
        <f>MAX(0,D30-$C$9)</f>
        <v/>
      </c>
      <c r="F30" s="10">
        <f>$C$6*E30*$C$8</f>
        <v/>
      </c>
      <c r="G30" s="10">
        <f>C30*$C$11*$C$10*$C$8</f>
        <v/>
      </c>
      <c r="H30" s="10">
        <f>F30+G30</f>
        <v/>
      </c>
      <c r="I30" s="24">
        <f>H30*12/100000</f>
        <v/>
      </c>
      <c r="J30" s="24">
        <f>($C$5+H30*12)/100000</f>
        <v/>
      </c>
    </row>
    <row r="31">
      <c r="B31" s="25" t="n">
        <v>16</v>
      </c>
      <c r="C31" s="37">
        <f>B31*$C$12</f>
        <v/>
      </c>
      <c r="D31" s="33">
        <f>(B31-C31)*$C$7</f>
        <v/>
      </c>
      <c r="E31" s="33">
        <f>MAX(0,D31-$C$9)</f>
        <v/>
      </c>
      <c r="F31" s="27">
        <f>$C$6*E31*$C$8</f>
        <v/>
      </c>
      <c r="G31" s="27">
        <f>C31*$C$11*$C$10*$C$8</f>
        <v/>
      </c>
      <c r="H31" s="27">
        <f>F31+G31</f>
        <v/>
      </c>
      <c r="I31" s="28">
        <f>H31*12/100000</f>
        <v/>
      </c>
      <c r="J31" s="29">
        <f>($C$5+H31*12)/100000</f>
        <v/>
      </c>
    </row>
    <row r="32">
      <c r="B32" s="23" t="n">
        <v>17</v>
      </c>
      <c r="C32" s="36">
        <f>B32*$C$12</f>
        <v/>
      </c>
      <c r="D32" s="32">
        <f>(B32-C32)*$C$7</f>
        <v/>
      </c>
      <c r="E32" s="32">
        <f>MAX(0,D32-$C$9)</f>
        <v/>
      </c>
      <c r="F32" s="10">
        <f>$C$6*E32*$C$8</f>
        <v/>
      </c>
      <c r="G32" s="10">
        <f>C32*$C$11*$C$10*$C$8</f>
        <v/>
      </c>
      <c r="H32" s="10">
        <f>F32+G32</f>
        <v/>
      </c>
      <c r="I32" s="24">
        <f>H32*12/100000</f>
        <v/>
      </c>
      <c r="J32" s="24">
        <f>($C$5+H32*12)/100000</f>
        <v/>
      </c>
    </row>
    <row r="33">
      <c r="B33" s="23" t="n">
        <v>18</v>
      </c>
      <c r="C33" s="36">
        <f>B33*$C$12</f>
        <v/>
      </c>
      <c r="D33" s="32">
        <f>(B33-C33)*$C$7</f>
        <v/>
      </c>
      <c r="E33" s="32">
        <f>MAX(0,D33-$C$9)</f>
        <v/>
      </c>
      <c r="F33" s="10">
        <f>$C$6*E33*$C$8</f>
        <v/>
      </c>
      <c r="G33" s="10">
        <f>C33*$C$11*$C$10*$C$8</f>
        <v/>
      </c>
      <c r="H33" s="10">
        <f>F33+G33</f>
        <v/>
      </c>
      <c r="I33" s="24">
        <f>H33*12/100000</f>
        <v/>
      </c>
      <c r="J33" s="24">
        <f>($C$5+H33*12)/100000</f>
        <v/>
      </c>
    </row>
    <row r="34">
      <c r="B34" s="23" t="n">
        <v>19</v>
      </c>
      <c r="C34" s="36">
        <f>B34*$C$12</f>
        <v/>
      </c>
      <c r="D34" s="32">
        <f>(B34-C34)*$C$7</f>
        <v/>
      </c>
      <c r="E34" s="32">
        <f>MAX(0,D34-$C$9)</f>
        <v/>
      </c>
      <c r="F34" s="10">
        <f>$C$6*E34*$C$8</f>
        <v/>
      </c>
      <c r="G34" s="10">
        <f>C34*$C$11*$C$10*$C$8</f>
        <v/>
      </c>
      <c r="H34" s="10">
        <f>F34+G34</f>
        <v/>
      </c>
      <c r="I34" s="24">
        <f>H34*12/100000</f>
        <v/>
      </c>
      <c r="J34" s="24">
        <f>($C$5+H34*12)/100000</f>
        <v/>
      </c>
    </row>
    <row r="35">
      <c r="B35" s="23" t="n">
        <v>20</v>
      </c>
      <c r="C35" s="36">
        <f>B35*$C$12</f>
        <v/>
      </c>
      <c r="D35" s="32">
        <f>(B35-C35)*$C$7</f>
        <v/>
      </c>
      <c r="E35" s="32">
        <f>MAX(0,D35-$C$9)</f>
        <v/>
      </c>
      <c r="F35" s="10">
        <f>$C$6*E35*$C$8</f>
        <v/>
      </c>
      <c r="G35" s="10">
        <f>C35*$C$11*$C$10*$C$8</f>
        <v/>
      </c>
      <c r="H35" s="10">
        <f>F35+G35</f>
        <v/>
      </c>
      <c r="I35" s="24">
        <f>H35*12/100000</f>
        <v/>
      </c>
      <c r="J35" s="24">
        <f>($C$5+H35*12)/100000</f>
        <v/>
      </c>
    </row>
    <row r="36">
      <c r="B36" s="23" t="n">
        <v>21</v>
      </c>
      <c r="C36" s="36">
        <f>B36*$C$12</f>
        <v/>
      </c>
      <c r="D36" s="32">
        <f>(B36-C36)*$C$7</f>
        <v/>
      </c>
      <c r="E36" s="32">
        <f>MAX(0,D36-$C$9)</f>
        <v/>
      </c>
      <c r="F36" s="10">
        <f>$C$6*E36*$C$8</f>
        <v/>
      </c>
      <c r="G36" s="10">
        <f>C36*$C$11*$C$10*$C$8</f>
        <v/>
      </c>
      <c r="H36" s="10">
        <f>F36+G36</f>
        <v/>
      </c>
      <c r="I36" s="24">
        <f>H36*12/100000</f>
        <v/>
      </c>
      <c r="J36" s="24">
        <f>($C$5+H36*12)/100000</f>
        <v/>
      </c>
    </row>
    <row r="37">
      <c r="B37" s="25" t="n">
        <v>22</v>
      </c>
      <c r="C37" s="37">
        <f>B37*$C$12</f>
        <v/>
      </c>
      <c r="D37" s="33">
        <f>(B37-C37)*$C$7</f>
        <v/>
      </c>
      <c r="E37" s="33">
        <f>MAX(0,D37-$C$9)</f>
        <v/>
      </c>
      <c r="F37" s="27">
        <f>$C$6*E37*$C$8</f>
        <v/>
      </c>
      <c r="G37" s="27">
        <f>C37*$C$11*$C$10*$C$8</f>
        <v/>
      </c>
      <c r="H37" s="27">
        <f>F37+G37</f>
        <v/>
      </c>
      <c r="I37" s="28">
        <f>H37*12/100000</f>
        <v/>
      </c>
      <c r="J37" s="29">
        <f>($C$5+H37*12)/100000</f>
        <v/>
      </c>
    </row>
    <row r="38">
      <c r="B38" s="23" t="n">
        <v>23</v>
      </c>
      <c r="C38" s="36">
        <f>B38*$C$12</f>
        <v/>
      </c>
      <c r="D38" s="32">
        <f>(B38-C38)*$C$7</f>
        <v/>
      </c>
      <c r="E38" s="32">
        <f>MAX(0,D38-$C$9)</f>
        <v/>
      </c>
      <c r="F38" s="10">
        <f>$C$6*E38*$C$8</f>
        <v/>
      </c>
      <c r="G38" s="10">
        <f>C38*$C$11*$C$10*$C$8</f>
        <v/>
      </c>
      <c r="H38" s="10">
        <f>F38+G38</f>
        <v/>
      </c>
      <c r="I38" s="24">
        <f>H38*12/100000</f>
        <v/>
      </c>
      <c r="J38" s="24">
        <f>($C$5+H38*12)/100000</f>
        <v/>
      </c>
    </row>
    <row r="39">
      <c r="B39" s="23" t="n">
        <v>24</v>
      </c>
      <c r="C39" s="36">
        <f>B39*$C$12</f>
        <v/>
      </c>
      <c r="D39" s="32">
        <f>(B39-C39)*$C$7</f>
        <v/>
      </c>
      <c r="E39" s="32">
        <f>MAX(0,D39-$C$9)</f>
        <v/>
      </c>
      <c r="F39" s="10">
        <f>$C$6*E39*$C$8</f>
        <v/>
      </c>
      <c r="G39" s="10">
        <f>C39*$C$11*$C$10*$C$8</f>
        <v/>
      </c>
      <c r="H39" s="10">
        <f>F39+G39</f>
        <v/>
      </c>
      <c r="I39" s="24">
        <f>H39*12/100000</f>
        <v/>
      </c>
      <c r="J39" s="24">
        <f>($C$5+H39*12)/100000</f>
        <v/>
      </c>
    </row>
    <row r="40">
      <c r="B40" s="23" t="n">
        <v>25</v>
      </c>
      <c r="C40" s="36">
        <f>B40*$C$12</f>
        <v/>
      </c>
      <c r="D40" s="32">
        <f>(B40-C40)*$C$7</f>
        <v/>
      </c>
      <c r="E40" s="32">
        <f>MAX(0,D40-$C$9)</f>
        <v/>
      </c>
      <c r="F40" s="10">
        <f>$C$6*E40*$C$8</f>
        <v/>
      </c>
      <c r="G40" s="10">
        <f>C40*$C$11*$C$10*$C$8</f>
        <v/>
      </c>
      <c r="H40" s="10">
        <f>F40+G40</f>
        <v/>
      </c>
      <c r="I40" s="24">
        <f>H40*12/100000</f>
        <v/>
      </c>
      <c r="J40" s="24">
        <f>($C$5+H40*12)/100000</f>
        <v/>
      </c>
    </row>
    <row r="41">
      <c r="B41" s="23" t="n">
        <v>26</v>
      </c>
      <c r="C41" s="36">
        <f>B41*$C$12</f>
        <v/>
      </c>
      <c r="D41" s="32">
        <f>(B41-C41)*$C$7</f>
        <v/>
      </c>
      <c r="E41" s="32">
        <f>MAX(0,D41-$C$9)</f>
        <v/>
      </c>
      <c r="F41" s="10">
        <f>$C$6*E41*$C$8</f>
        <v/>
      </c>
      <c r="G41" s="10">
        <f>C41*$C$11*$C$10*$C$8</f>
        <v/>
      </c>
      <c r="H41" s="10">
        <f>F41+G41</f>
        <v/>
      </c>
      <c r="I41" s="24">
        <f>H41*12/100000</f>
        <v/>
      </c>
      <c r="J41" s="24">
        <f>($C$5+H41*12)/100000</f>
        <v/>
      </c>
    </row>
    <row r="42">
      <c r="B42" s="23" t="n">
        <v>27</v>
      </c>
      <c r="C42" s="36">
        <f>B42*$C$12</f>
        <v/>
      </c>
      <c r="D42" s="32">
        <f>(B42-C42)*$C$7</f>
        <v/>
      </c>
      <c r="E42" s="32">
        <f>MAX(0,D42-$C$9)</f>
        <v/>
      </c>
      <c r="F42" s="10">
        <f>$C$6*E42*$C$8</f>
        <v/>
      </c>
      <c r="G42" s="10">
        <f>C42*$C$11*$C$10*$C$8</f>
        <v/>
      </c>
      <c r="H42" s="10">
        <f>F42+G42</f>
        <v/>
      </c>
      <c r="I42" s="24">
        <f>H42*12/100000</f>
        <v/>
      </c>
      <c r="J42" s="24">
        <f>($C$5+H42*12)/100000</f>
        <v/>
      </c>
    </row>
    <row r="43">
      <c r="B43" s="23" t="n">
        <v>28</v>
      </c>
      <c r="C43" s="36">
        <f>B43*$C$12</f>
        <v/>
      </c>
      <c r="D43" s="32">
        <f>(B43-C43)*$C$7</f>
        <v/>
      </c>
      <c r="E43" s="32">
        <f>MAX(0,D43-$C$9)</f>
        <v/>
      </c>
      <c r="F43" s="10">
        <f>$C$6*E43*$C$8</f>
        <v/>
      </c>
      <c r="G43" s="10">
        <f>C43*$C$11*$C$10*$C$8</f>
        <v/>
      </c>
      <c r="H43" s="10">
        <f>F43+G43</f>
        <v/>
      </c>
      <c r="I43" s="24">
        <f>H43*12/100000</f>
        <v/>
      </c>
      <c r="J43" s="24">
        <f>($C$5+H43*12)/100000</f>
        <v/>
      </c>
    </row>
    <row r="44">
      <c r="B44" s="23" t="n">
        <v>29</v>
      </c>
      <c r="C44" s="36">
        <f>B44*$C$12</f>
        <v/>
      </c>
      <c r="D44" s="32">
        <f>(B44-C44)*$C$7</f>
        <v/>
      </c>
      <c r="E44" s="32">
        <f>MAX(0,D44-$C$9)</f>
        <v/>
      </c>
      <c r="F44" s="10">
        <f>$C$6*E44*$C$8</f>
        <v/>
      </c>
      <c r="G44" s="10">
        <f>C44*$C$11*$C$10*$C$8</f>
        <v/>
      </c>
      <c r="H44" s="10">
        <f>F44+G44</f>
        <v/>
      </c>
      <c r="I44" s="24">
        <f>H44*12/100000</f>
        <v/>
      </c>
      <c r="J44" s="24">
        <f>($C$5+H44*12)/100000</f>
        <v/>
      </c>
    </row>
    <row r="45">
      <c r="B45" s="25" t="n">
        <v>30</v>
      </c>
      <c r="C45" s="37">
        <f>B45*$C$12</f>
        <v/>
      </c>
      <c r="D45" s="33">
        <f>(B45-C45)*$C$7</f>
        <v/>
      </c>
      <c r="E45" s="33">
        <f>MAX(0,D45-$C$9)</f>
        <v/>
      </c>
      <c r="F45" s="27">
        <f>$C$6*E45*$C$8</f>
        <v/>
      </c>
      <c r="G45" s="27">
        <f>C45*$C$11*$C$10*$C$8</f>
        <v/>
      </c>
      <c r="H45" s="27">
        <f>F45+G45</f>
        <v/>
      </c>
      <c r="I45" s="28">
        <f>H45*12/100000</f>
        <v/>
      </c>
      <c r="J45" s="29">
        <f>($C$5+H45*12)/100000</f>
        <v/>
      </c>
    </row>
    <row r="46">
      <c r="B46" s="23" t="n">
        <v>31</v>
      </c>
      <c r="C46" s="36">
        <f>B46*$C$12</f>
        <v/>
      </c>
      <c r="D46" s="32">
        <f>(B46-C46)*$C$7</f>
        <v/>
      </c>
      <c r="E46" s="32">
        <f>MAX(0,D46-$C$9)</f>
        <v/>
      </c>
      <c r="F46" s="10">
        <f>$C$6*E46*$C$8</f>
        <v/>
      </c>
      <c r="G46" s="10">
        <f>C46*$C$11*$C$10*$C$8</f>
        <v/>
      </c>
      <c r="H46" s="10">
        <f>F46+G46</f>
        <v/>
      </c>
      <c r="I46" s="24">
        <f>H46*12/100000</f>
        <v/>
      </c>
      <c r="J46" s="24">
        <f>($C$5+H46*12)/100000</f>
        <v/>
      </c>
    </row>
    <row r="47">
      <c r="B47" s="23" t="n">
        <v>32</v>
      </c>
      <c r="C47" s="36">
        <f>B47*$C$12</f>
        <v/>
      </c>
      <c r="D47" s="32">
        <f>(B47-C47)*$C$7</f>
        <v/>
      </c>
      <c r="E47" s="32">
        <f>MAX(0,D47-$C$9)</f>
        <v/>
      </c>
      <c r="F47" s="10">
        <f>$C$6*E47*$C$8</f>
        <v/>
      </c>
      <c r="G47" s="10">
        <f>C47*$C$11*$C$10*$C$8</f>
        <v/>
      </c>
      <c r="H47" s="10">
        <f>F47+G47</f>
        <v/>
      </c>
      <c r="I47" s="24">
        <f>H47*12/100000</f>
        <v/>
      </c>
      <c r="J47" s="24">
        <f>($C$5+H47*12)/100000</f>
        <v/>
      </c>
    </row>
    <row r="48">
      <c r="B48" s="23" t="n">
        <v>33</v>
      </c>
      <c r="C48" s="36">
        <f>B48*$C$12</f>
        <v/>
      </c>
      <c r="D48" s="32">
        <f>(B48-C48)*$C$7</f>
        <v/>
      </c>
      <c r="E48" s="32">
        <f>MAX(0,D48-$C$9)</f>
        <v/>
      </c>
      <c r="F48" s="10">
        <f>$C$6*E48*$C$8</f>
        <v/>
      </c>
      <c r="G48" s="10">
        <f>C48*$C$11*$C$10*$C$8</f>
        <v/>
      </c>
      <c r="H48" s="10">
        <f>F48+G48</f>
        <v/>
      </c>
      <c r="I48" s="24">
        <f>H48*12/100000</f>
        <v/>
      </c>
      <c r="J48" s="24">
        <f>($C$5+H48*12)/100000</f>
        <v/>
      </c>
    </row>
    <row r="49">
      <c r="B49" s="23" t="n">
        <v>34</v>
      </c>
      <c r="C49" s="36">
        <f>B49*$C$12</f>
        <v/>
      </c>
      <c r="D49" s="32">
        <f>(B49-C49)*$C$7</f>
        <v/>
      </c>
      <c r="E49" s="32">
        <f>MAX(0,D49-$C$9)</f>
        <v/>
      </c>
      <c r="F49" s="10">
        <f>$C$6*E49*$C$8</f>
        <v/>
      </c>
      <c r="G49" s="10">
        <f>C49*$C$11*$C$10*$C$8</f>
        <v/>
      </c>
      <c r="H49" s="10">
        <f>F49+G49</f>
        <v/>
      </c>
      <c r="I49" s="24">
        <f>H49*12/100000</f>
        <v/>
      </c>
      <c r="J49" s="24">
        <f>($C$5+H49*12)/100000</f>
        <v/>
      </c>
    </row>
    <row r="50">
      <c r="B50" s="23" t="n">
        <v>35</v>
      </c>
      <c r="C50" s="36">
        <f>B50*$C$12</f>
        <v/>
      </c>
      <c r="D50" s="32">
        <f>(B50-C50)*$C$7</f>
        <v/>
      </c>
      <c r="E50" s="32">
        <f>MAX(0,D50-$C$9)</f>
        <v/>
      </c>
      <c r="F50" s="10">
        <f>$C$6*E50*$C$8</f>
        <v/>
      </c>
      <c r="G50" s="10">
        <f>C50*$C$11*$C$10*$C$8</f>
        <v/>
      </c>
      <c r="H50" s="10">
        <f>F50+G50</f>
        <v/>
      </c>
      <c r="I50" s="24">
        <f>H50*12/100000</f>
        <v/>
      </c>
      <c r="J50" s="24">
        <f>($C$5+H50*12)/100000</f>
        <v/>
      </c>
    </row>
    <row r="52">
      <c r="B52" s="12" t="inlineStr">
        <is>
          <t>KEY SCENARIOS  (green rows above)</t>
        </is>
      </c>
    </row>
    <row r="53">
      <c r="B53" s="7" t="inlineStr">
        <is>
          <t>Scenario</t>
        </is>
      </c>
      <c r="C53" s="7" t="inlineStr">
        <is>
          <t>Clients/month</t>
        </is>
      </c>
      <c r="D53" s="7" t="inlineStr">
        <is>
          <t>Total CTC (Rs L)</t>
        </is>
      </c>
    </row>
    <row r="54">
      <c r="B54" s="4" t="inlineStr">
        <is>
          <t>Current founder pace</t>
        </is>
      </c>
      <c r="C54" s="23" t="n">
        <v>12</v>
      </c>
      <c r="D54" s="29">
        <f>J27</f>
        <v/>
      </c>
    </row>
    <row r="55">
      <c r="B55" s="4" t="inlineStr">
        <is>
          <t>Year-1 realistic</t>
        </is>
      </c>
      <c r="C55" s="23" t="n">
        <v>16</v>
      </c>
      <c r="D55" s="29">
        <f>J31</f>
        <v/>
      </c>
    </row>
    <row r="56">
      <c r="B56" s="4" t="inlineStr">
        <is>
          <t>On-target (OTE)</t>
        </is>
      </c>
      <c r="C56" s="23" t="n">
        <v>22</v>
      </c>
      <c r="D56" s="29">
        <f>J37</f>
        <v/>
      </c>
    </row>
    <row r="57">
      <c r="B57" s="4" t="inlineStr">
        <is>
          <t>Stretch ceiling</t>
        </is>
      </c>
      <c r="C57" s="23" t="n">
        <v>30</v>
      </c>
      <c r="D57" s="29">
        <f>J45</f>
        <v/>
      </c>
    </row>
  </sheetData>
  <mergeCells count="6">
    <mergeCell ref="C13:F13"/>
    <mergeCell ref="B19:J19"/>
    <mergeCell ref="B4:J4"/>
    <mergeCell ref="B52:J52"/>
    <mergeCell ref="B21:J21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2" ht="30" customHeight="1">
      <c r="B2" s="11" t="inlineStr">
        <is>
          <t>Base vs Commission  -  three risk/reward cases</t>
        </is>
      </c>
    </row>
    <row r="4">
      <c r="B4" s="12" t="inlineStr">
        <is>
          <t>CASE INPUTS  (edit yellow: lower base = more upside)</t>
        </is>
      </c>
      <c r="H4" s="22" t="inlineStr">
        <is>
          <t>Clients</t>
        </is>
      </c>
      <c r="I4" s="22" t="inlineStr">
        <is>
          <t>Case A</t>
        </is>
      </c>
      <c r="J4" s="22" t="inlineStr">
        <is>
          <t>Case B</t>
        </is>
      </c>
      <c r="K4" s="22" t="inlineStr">
        <is>
          <t>Case C</t>
        </is>
      </c>
    </row>
    <row r="5">
      <c r="B5" s="38" t="inlineStr">
        <is>
          <t>Parameter</t>
        </is>
      </c>
      <c r="C5" s="7" t="inlineStr">
        <is>
          <t>Case A</t>
        </is>
      </c>
      <c r="D5" s="7" t="inlineStr">
        <is>
          <t>Case B</t>
        </is>
      </c>
      <c r="E5" s="7" t="inlineStr">
        <is>
          <t>Case C</t>
        </is>
      </c>
      <c r="H5" s="39" t="n">
        <v>8</v>
      </c>
      <c r="I5" s="40">
        <f>($C$6 + ($C$7*MAX(0,$H5*(1-$C$14)*$C$10-$C$8)*$C$11 + $H5*$C$14*$C$13*$C$12*$C$11)*12)/100000</f>
        <v/>
      </c>
      <c r="J5" s="40">
        <f>($D$6 + ($D$7*MAX(0,$H5*(1-$C$14)*$C$10-$D$8)*$C$11 + $H5*$C$14*$C$13*$C$12*$C$11)*12)/100000</f>
        <v/>
      </c>
      <c r="K5" s="40">
        <f>($E$6 + ($E$7*MAX(0,$H5*(1-$C$14)*$C$10-$E$8)*$C$11 + $H5*$C$14*$C$13*$C$12*$C$11)*12)/100000</f>
        <v/>
      </c>
    </row>
    <row r="6">
      <c r="B6" s="4" t="inlineStr">
        <is>
          <t>Base salary (Rs / year)</t>
        </is>
      </c>
      <c r="C6" s="13" t="n">
        <v>1400000</v>
      </c>
      <c r="D6" s="13" t="n">
        <v>1600000</v>
      </c>
      <c r="E6" s="13" t="n">
        <v>1800000</v>
      </c>
      <c r="H6" s="39" t="n">
        <v>9</v>
      </c>
      <c r="I6" s="40">
        <f>($C$6 + ($C$7*MAX(0,$H6*(1-$C$14)*$C$10-$C$8)*$C$11 + $H6*$C$14*$C$13*$C$12*$C$11)*12)/100000</f>
        <v/>
      </c>
      <c r="J6" s="40">
        <f>($D$6 + ($D$7*MAX(0,$H6*(1-$C$14)*$C$10-$D$8)*$C$11 + $H6*$C$14*$C$13*$C$12*$C$11)*12)/100000</f>
        <v/>
      </c>
      <c r="K6" s="40">
        <f>($E$6 + ($E$7*MAX(0,$H6*(1-$C$14)*$C$10-$E$8)*$C$11 + $H6*$C$14*$C$13*$C$12*$C$11)*12)/100000</f>
        <v/>
      </c>
    </row>
    <row r="7">
      <c r="B7" s="4" t="inlineStr">
        <is>
          <t>Commission rate (% MRR above floor)</t>
        </is>
      </c>
      <c r="C7" s="15" t="n">
        <v>0.3</v>
      </c>
      <c r="D7" s="15" t="n">
        <v>0.25</v>
      </c>
      <c r="E7" s="15" t="n">
        <v>0.2</v>
      </c>
      <c r="H7" s="39" t="n">
        <v>10</v>
      </c>
      <c r="I7" s="40">
        <f>($C$6 + ($C$7*MAX(0,$H7*(1-$C$14)*$C$10-$C$8)*$C$11 + $H7*$C$14*$C$13*$C$12*$C$11)*12)/100000</f>
        <v/>
      </c>
      <c r="J7" s="40">
        <f>($D$6 + ($D$7*MAX(0,$H7*(1-$C$14)*$C$10-$D$8)*$C$11 + $H7*$C$14*$C$13*$C$12*$C$11)*12)/100000</f>
        <v/>
      </c>
      <c r="K7" s="40">
        <f>($E$6 + ($E$7*MAX(0,$H7*(1-$C$14)*$C$10-$E$8)*$C$11 + $H7*$C$14*$C$13*$C$12*$C$11)*12)/100000</f>
        <v/>
      </c>
    </row>
    <row r="8">
      <c r="B8" s="4" t="inlineStr">
        <is>
          <t>MRR floor ($ / month)</t>
        </is>
      </c>
      <c r="C8" s="30" t="n">
        <v>1800</v>
      </c>
      <c r="D8" s="30" t="n">
        <v>2400</v>
      </c>
      <c r="E8" s="30" t="n">
        <v>3000</v>
      </c>
      <c r="H8" s="39" t="n">
        <v>11</v>
      </c>
      <c r="I8" s="40">
        <f>($C$6 + ($C$7*MAX(0,$H8*(1-$C$14)*$C$10-$C$8)*$C$11 + $H8*$C$14*$C$13*$C$12*$C$11)*12)/100000</f>
        <v/>
      </c>
      <c r="J8" s="40">
        <f>($D$6 + ($D$7*MAX(0,$H8*(1-$C$14)*$C$10-$D$8)*$C$11 + $H8*$C$14*$C$13*$C$12*$C$11)*12)/100000</f>
        <v/>
      </c>
      <c r="K8" s="40">
        <f>($E$6 + ($E$7*MAX(0,$H8*(1-$C$14)*$C$10-$E$8)*$C$11 + $H8*$C$14*$C$13*$C$12*$C$11)*12)/100000</f>
        <v/>
      </c>
    </row>
    <row r="9">
      <c r="B9" s="12" t="inlineStr">
        <is>
          <t>SHARED INPUTS  (same across all cases)</t>
        </is>
      </c>
      <c r="H9" s="39" t="n">
        <v>12</v>
      </c>
      <c r="I9" s="40">
        <f>($C$6 + ($C$7*MAX(0,$H9*(1-$C$14)*$C$10-$C$8)*$C$11 + $H9*$C$14*$C$13*$C$12*$C$11)*12)/100000</f>
        <v/>
      </c>
      <c r="J9" s="40">
        <f>($D$6 + ($D$7*MAX(0,$H9*(1-$C$14)*$C$10-$D$8)*$C$11 + $H9*$C$14*$C$13*$C$12*$C$11)*12)/100000</f>
        <v/>
      </c>
      <c r="K9" s="40">
        <f>($E$6 + ($E$7*MAX(0,$H9*(1-$C$14)*$C$10-$E$8)*$C$11 + $H9*$C$14*$C$13*$C$12*$C$11)*12)/100000</f>
        <v/>
      </c>
    </row>
    <row r="10">
      <c r="B10" s="4" t="inlineStr">
        <is>
          <t>Avg MRR per regular client ($/mo)</t>
        </is>
      </c>
      <c r="C10" s="30" t="n">
        <v>300</v>
      </c>
      <c r="H10" s="39" t="n">
        <v>13</v>
      </c>
      <c r="I10" s="40">
        <f>($C$6 + ($C$7*MAX(0,$H10*(1-$C$14)*$C$10-$C$8)*$C$11 + $H10*$C$14*$C$13*$C$12*$C$11)*12)/100000</f>
        <v/>
      </c>
      <c r="J10" s="40">
        <f>($D$6 + ($D$7*MAX(0,$H10*(1-$C$14)*$C$10-$D$8)*$C$11 + $H10*$C$14*$C$13*$C$12*$C$11)*12)/100000</f>
        <v/>
      </c>
      <c r="K10" s="40">
        <f>($E$6 + ($E$7*MAX(0,$H10*(1-$C$14)*$C$10-$E$8)*$C$11 + $H10*$C$14*$C$13*$C$12*$C$11)*12)/100000</f>
        <v/>
      </c>
    </row>
    <row r="11">
      <c r="B11" s="4" t="inlineStr">
        <is>
          <t>FX rate (Rs per $)</t>
        </is>
      </c>
      <c r="C11" s="14" t="n">
        <v>80</v>
      </c>
      <c r="H11" s="39" t="n">
        <v>14</v>
      </c>
      <c r="I11" s="40">
        <f>($C$6 + ($C$7*MAX(0,$H11*(1-$C$14)*$C$10-$C$8)*$C$11 + $H11*$C$14*$C$13*$C$12*$C$11)*12)/100000</f>
        <v/>
      </c>
      <c r="J11" s="40">
        <f>($D$6 + ($D$7*MAX(0,$H11*(1-$C$14)*$C$10-$D$8)*$C$11 + $H11*$C$14*$C$13*$C$12*$C$11)*12)/100000</f>
        <v/>
      </c>
      <c r="K11" s="40">
        <f>($E$6 + ($E$7*MAX(0,$H11*(1-$C$14)*$C$10-$E$8)*$C$11 + $H11*$C$14*$C$13*$C$12*$C$11)*12)/100000</f>
        <v/>
      </c>
    </row>
    <row r="12">
      <c r="B12" s="4" t="inlineStr">
        <is>
          <t>Onboarding fee ($)</t>
        </is>
      </c>
      <c r="C12" s="30" t="n">
        <v>500</v>
      </c>
      <c r="H12" s="39" t="n">
        <v>15</v>
      </c>
      <c r="I12" s="40">
        <f>($C$6 + ($C$7*MAX(0,$H12*(1-$C$14)*$C$10-$C$8)*$C$11 + $H12*$C$14*$C$13*$C$12*$C$11)*12)/100000</f>
        <v/>
      </c>
      <c r="J12" s="40">
        <f>($D$6 + ($D$7*MAX(0,$H12*(1-$C$14)*$C$10-$D$8)*$C$11 + $H12*$C$14*$C$13*$C$12*$C$11)*12)/100000</f>
        <v/>
      </c>
      <c r="K12" s="40">
        <f>($E$6 + ($E$7*MAX(0,$H12*(1-$C$14)*$C$10-$E$8)*$C$11 + $H12*$C$14*$C$13*$C$12*$C$11)*12)/100000</f>
        <v/>
      </c>
    </row>
    <row r="13">
      <c r="B13" s="4" t="inlineStr">
        <is>
          <t>Onboarding commission rate (%)</t>
        </is>
      </c>
      <c r="C13" s="15" t="n">
        <v>0.1</v>
      </c>
      <c r="H13" s="39" t="n">
        <v>16</v>
      </c>
      <c r="I13" s="40">
        <f>($C$6 + ($C$7*MAX(0,$H13*(1-$C$14)*$C$10-$C$8)*$C$11 + $H13*$C$14*$C$13*$C$12*$C$11)*12)/100000</f>
        <v/>
      </c>
      <c r="J13" s="40">
        <f>($D$6 + ($D$7*MAX(0,$H13*(1-$C$14)*$C$10-$D$8)*$C$11 + $H13*$C$14*$C$13*$C$12*$C$11)*12)/100000</f>
        <v/>
      </c>
      <c r="K13" s="40">
        <f>($E$6 + ($E$7*MAX(0,$H13*(1-$C$14)*$C$10-$E$8)*$C$11 + $H13*$C$14*$C$13*$C$12*$C$11)*12)/100000</f>
        <v/>
      </c>
    </row>
    <row r="14">
      <c r="B14" s="4" t="inlineStr">
        <is>
          <t>% of closes that are onboarding clients</t>
        </is>
      </c>
      <c r="C14" s="15" t="n">
        <v>0.2</v>
      </c>
      <c r="H14" s="39" t="n">
        <v>17</v>
      </c>
      <c r="I14" s="40">
        <f>($C$6 + ($C$7*MAX(0,$H14*(1-$C$14)*$C$10-$C$8)*$C$11 + $H14*$C$14*$C$13*$C$12*$C$11)*12)/100000</f>
        <v/>
      </c>
      <c r="J14" s="40">
        <f>($D$6 + ($D$7*MAX(0,$H14*(1-$C$14)*$C$10-$D$8)*$C$11 + $H14*$C$14*$C$13*$C$12*$C$11)*12)/100000</f>
        <v/>
      </c>
      <c r="K14" s="40">
        <f>($E$6 + ($E$7*MAX(0,$H14*(1-$C$14)*$C$10-$E$8)*$C$11 + $H14*$C$14*$C$13*$C$12*$C$11)*12)/100000</f>
        <v/>
      </c>
    </row>
    <row r="15">
      <c r="H15" s="39" t="n">
        <v>18</v>
      </c>
      <c r="I15" s="40">
        <f>($C$6 + ($C$7*MAX(0,$H15*(1-$C$14)*$C$10-$C$8)*$C$11 + $H15*$C$14*$C$13*$C$12*$C$11)*12)/100000</f>
        <v/>
      </c>
      <c r="J15" s="40">
        <f>($D$6 + ($D$7*MAX(0,$H15*(1-$C$14)*$C$10-$D$8)*$C$11 + $H15*$C$14*$C$13*$C$12*$C$11)*12)/100000</f>
        <v/>
      </c>
      <c r="K15" s="40">
        <f>($E$6 + ($E$7*MAX(0,$H15*(1-$C$14)*$C$10-$E$8)*$C$11 + $H15*$C$14*$C$13*$C$12*$C$11)*12)/100000</f>
        <v/>
      </c>
    </row>
    <row r="16">
      <c r="B16" s="12" t="inlineStr">
        <is>
          <t>TOTAL CTC (Rs L) AT KEY CLOSE RATES</t>
        </is>
      </c>
      <c r="H16" s="39" t="n">
        <v>19</v>
      </c>
      <c r="I16" s="40">
        <f>($C$6 + ($C$7*MAX(0,$H16*(1-$C$14)*$C$10-$C$8)*$C$11 + $H16*$C$14*$C$13*$C$12*$C$11)*12)/100000</f>
        <v/>
      </c>
      <c r="J16" s="40">
        <f>($D$6 + ($D$7*MAX(0,$H16*(1-$C$14)*$C$10-$D$8)*$C$11 + $H16*$C$14*$C$13*$C$12*$C$11)*12)/100000</f>
        <v/>
      </c>
      <c r="K16" s="40">
        <f>($E$6 + ($E$7*MAX(0,$H16*(1-$C$14)*$C$10-$E$8)*$C$11 + $H16*$C$14*$C$13*$C$12*$C$11)*12)/100000</f>
        <v/>
      </c>
    </row>
    <row r="17">
      <c r="B17" s="7" t="inlineStr">
        <is>
          <t>Clients / month</t>
        </is>
      </c>
      <c r="C17" s="7" t="inlineStr">
        <is>
          <t>Case A (14L)</t>
        </is>
      </c>
      <c r="D17" s="7" t="inlineStr">
        <is>
          <t>Case B (16L)</t>
        </is>
      </c>
      <c r="E17" s="7" t="inlineStr">
        <is>
          <t>Case C (18L)</t>
        </is>
      </c>
      <c r="H17" s="39" t="n">
        <v>20</v>
      </c>
      <c r="I17" s="40">
        <f>($C$6 + ($C$7*MAX(0,$H17*(1-$C$14)*$C$10-$C$8)*$C$11 + $H17*$C$14*$C$13*$C$12*$C$11)*12)/100000</f>
        <v/>
      </c>
      <c r="J17" s="40">
        <f>($D$6 + ($D$7*MAX(0,$H17*(1-$C$14)*$C$10-$D$8)*$C$11 + $H17*$C$14*$C$13*$C$12*$C$11)*12)/100000</f>
        <v/>
      </c>
      <c r="K17" s="40">
        <f>($E$6 + ($E$7*MAX(0,$H17*(1-$C$14)*$C$10-$E$8)*$C$11 + $H17*$C$14*$C$13*$C$12*$C$11)*12)/100000</f>
        <v/>
      </c>
    </row>
    <row r="18">
      <c r="B18" s="25" t="n">
        <v>12</v>
      </c>
      <c r="C18" s="24">
        <f>($C$6 + ($C$7*MAX(0,$B18*(1-$C$14)*$C$10-$C$8)*$C$11 + $B18*$C$14*$C$13*$C$12*$C$11)*12)/100000</f>
        <v/>
      </c>
      <c r="D18" s="24">
        <f>($D$6 + ($D$7*MAX(0,$B18*(1-$C$14)*$C$10-$D$8)*$C$11 + $B18*$C$14*$C$13*$C$12*$C$11)*12)/100000</f>
        <v/>
      </c>
      <c r="E18" s="24">
        <f>($E$6 + ($E$7*MAX(0,$B18*(1-$C$14)*$C$10-$E$8)*$C$11 + $B18*$C$14*$C$13*$C$12*$C$11)*12)/100000</f>
        <v/>
      </c>
      <c r="H18" s="39" t="n">
        <v>21</v>
      </c>
      <c r="I18" s="40">
        <f>($C$6 + ($C$7*MAX(0,$H18*(1-$C$14)*$C$10-$C$8)*$C$11 + $H18*$C$14*$C$13*$C$12*$C$11)*12)/100000</f>
        <v/>
      </c>
      <c r="J18" s="40">
        <f>($D$6 + ($D$7*MAX(0,$H18*(1-$C$14)*$C$10-$D$8)*$C$11 + $H18*$C$14*$C$13*$C$12*$C$11)*12)/100000</f>
        <v/>
      </c>
      <c r="K18" s="40">
        <f>($E$6 + ($E$7*MAX(0,$H18*(1-$C$14)*$C$10-$E$8)*$C$11 + $H18*$C$14*$C$13*$C$12*$C$11)*12)/100000</f>
        <v/>
      </c>
    </row>
    <row r="19">
      <c r="B19" s="25" t="n">
        <v>16</v>
      </c>
      <c r="C19" s="24">
        <f>($C$6 + ($C$7*MAX(0,$B19*(1-$C$14)*$C$10-$C$8)*$C$11 + $B19*$C$14*$C$13*$C$12*$C$11)*12)/100000</f>
        <v/>
      </c>
      <c r="D19" s="24">
        <f>($D$6 + ($D$7*MAX(0,$B19*(1-$C$14)*$C$10-$D$8)*$C$11 + $B19*$C$14*$C$13*$C$12*$C$11)*12)/100000</f>
        <v/>
      </c>
      <c r="E19" s="24">
        <f>($E$6 + ($E$7*MAX(0,$B19*(1-$C$14)*$C$10-$E$8)*$C$11 + $B19*$C$14*$C$13*$C$12*$C$11)*12)/100000</f>
        <v/>
      </c>
      <c r="H19" s="39" t="n">
        <v>22</v>
      </c>
      <c r="I19" s="40">
        <f>($C$6 + ($C$7*MAX(0,$H19*(1-$C$14)*$C$10-$C$8)*$C$11 + $H19*$C$14*$C$13*$C$12*$C$11)*12)/100000</f>
        <v/>
      </c>
      <c r="J19" s="40">
        <f>($D$6 + ($D$7*MAX(0,$H19*(1-$C$14)*$C$10-$D$8)*$C$11 + $H19*$C$14*$C$13*$C$12*$C$11)*12)/100000</f>
        <v/>
      </c>
      <c r="K19" s="40">
        <f>($E$6 + ($E$7*MAX(0,$H19*(1-$C$14)*$C$10-$E$8)*$C$11 + $H19*$C$14*$C$13*$C$12*$C$11)*12)/100000</f>
        <v/>
      </c>
    </row>
    <row r="20">
      <c r="B20" s="25" t="n">
        <v>22</v>
      </c>
      <c r="C20" s="24">
        <f>($C$6 + ($C$7*MAX(0,$B20*(1-$C$14)*$C$10-$C$8)*$C$11 + $B20*$C$14*$C$13*$C$12*$C$11)*12)/100000</f>
        <v/>
      </c>
      <c r="D20" s="24">
        <f>($D$6 + ($D$7*MAX(0,$B20*(1-$C$14)*$C$10-$D$8)*$C$11 + $B20*$C$14*$C$13*$C$12*$C$11)*12)/100000</f>
        <v/>
      </c>
      <c r="E20" s="24">
        <f>($E$6 + ($E$7*MAX(0,$B20*(1-$C$14)*$C$10-$E$8)*$C$11 + $B20*$C$14*$C$13*$C$12*$C$11)*12)/100000</f>
        <v/>
      </c>
      <c r="H20" s="39" t="n">
        <v>23</v>
      </c>
      <c r="I20" s="40">
        <f>($C$6 + ($C$7*MAX(0,$H20*(1-$C$14)*$C$10-$C$8)*$C$11 + $H20*$C$14*$C$13*$C$12*$C$11)*12)/100000</f>
        <v/>
      </c>
      <c r="J20" s="40">
        <f>($D$6 + ($D$7*MAX(0,$H20*(1-$C$14)*$C$10-$D$8)*$C$11 + $H20*$C$14*$C$13*$C$12*$C$11)*12)/100000</f>
        <v/>
      </c>
      <c r="K20" s="40">
        <f>($E$6 + ($E$7*MAX(0,$H20*(1-$C$14)*$C$10-$E$8)*$C$11 + $H20*$C$14*$C$13*$C$12*$C$11)*12)/100000</f>
        <v/>
      </c>
    </row>
    <row r="21">
      <c r="B21" s="25" t="n">
        <v>30</v>
      </c>
      <c r="C21" s="24">
        <f>($C$6 + ($C$7*MAX(0,$B21*(1-$C$14)*$C$10-$C$8)*$C$11 + $B21*$C$14*$C$13*$C$12*$C$11)*12)/100000</f>
        <v/>
      </c>
      <c r="D21" s="24">
        <f>($D$6 + ($D$7*MAX(0,$B21*(1-$C$14)*$C$10-$D$8)*$C$11 + $B21*$C$14*$C$13*$C$12*$C$11)*12)/100000</f>
        <v/>
      </c>
      <c r="E21" s="24">
        <f>($E$6 + ($E$7*MAX(0,$B21*(1-$C$14)*$C$10-$E$8)*$C$11 + $B21*$C$14*$C$13*$C$12*$C$11)*12)/100000</f>
        <v/>
      </c>
      <c r="H21" s="39" t="n">
        <v>24</v>
      </c>
      <c r="I21" s="40">
        <f>($C$6 + ($C$7*MAX(0,$H21*(1-$C$14)*$C$10-$C$8)*$C$11 + $H21*$C$14*$C$13*$C$12*$C$11)*12)/100000</f>
        <v/>
      </c>
      <c r="J21" s="40">
        <f>($D$6 + ($D$7*MAX(0,$H21*(1-$C$14)*$C$10-$D$8)*$C$11 + $H21*$C$14*$C$13*$C$12*$C$11)*12)/100000</f>
        <v/>
      </c>
      <c r="K21" s="40">
        <f>($E$6 + ($E$7*MAX(0,$H21*(1-$C$14)*$C$10-$E$8)*$C$11 + $H21*$C$14*$C$13*$C$12*$C$11)*12)/100000</f>
        <v/>
      </c>
    </row>
    <row r="22">
      <c r="H22" s="39" t="n">
        <v>25</v>
      </c>
      <c r="I22" s="40">
        <f>($C$6 + ($C$7*MAX(0,$H22*(1-$C$14)*$C$10-$C$8)*$C$11 + $H22*$C$14*$C$13*$C$12*$C$11)*12)/100000</f>
        <v/>
      </c>
      <c r="J22" s="40">
        <f>($D$6 + ($D$7*MAX(0,$H22*(1-$C$14)*$C$10-$D$8)*$C$11 + $H22*$C$14*$C$13*$C$12*$C$11)*12)/100000</f>
        <v/>
      </c>
      <c r="K22" s="40">
        <f>($E$6 + ($E$7*MAX(0,$H22*(1-$C$14)*$C$10-$E$8)*$C$11 + $H22*$C$14*$C$13*$C$12*$C$11)*12)/100000</f>
        <v/>
      </c>
    </row>
    <row r="23">
      <c r="B23" s="12" t="inlineStr">
        <is>
          <t>ANNUAL COMMISSION SPLIT (Rs L): MRR vs ONBOARDING</t>
        </is>
      </c>
      <c r="H23" s="39" t="n">
        <v>26</v>
      </c>
      <c r="I23" s="40">
        <f>($C$6 + ($C$7*MAX(0,$H23*(1-$C$14)*$C$10-$C$8)*$C$11 + $H23*$C$14*$C$13*$C$12*$C$11)*12)/100000</f>
        <v/>
      </c>
      <c r="J23" s="40">
        <f>($D$6 + ($D$7*MAX(0,$H23*(1-$C$14)*$C$10-$D$8)*$C$11 + $H23*$C$14*$C$13*$C$12*$C$11)*12)/100000</f>
        <v/>
      </c>
      <c r="K23" s="40">
        <f>($E$6 + ($E$7*MAX(0,$H23*(1-$C$14)*$C$10-$E$8)*$C$11 + $H23*$C$14*$C$13*$C$12*$C$11)*12)/100000</f>
        <v/>
      </c>
    </row>
    <row r="24" ht="30" customHeight="1">
      <c r="B24" s="22" t="inlineStr">
        <is>
          <t>Clients / month</t>
        </is>
      </c>
      <c r="C24" s="22" t="inlineStr">
        <is>
          <t>Onboarding (all cases)</t>
        </is>
      </c>
      <c r="D24" s="22" t="inlineStr">
        <is>
          <t>MRR - Case A</t>
        </is>
      </c>
      <c r="E24" s="22" t="inlineStr">
        <is>
          <t>MRR - Case B</t>
        </is>
      </c>
      <c r="F24" s="22" t="inlineStr">
        <is>
          <t>MRR - Case C</t>
        </is>
      </c>
      <c r="H24" s="39" t="n">
        <v>27</v>
      </c>
      <c r="I24" s="40">
        <f>($C$6 + ($C$7*MAX(0,$H24*(1-$C$14)*$C$10-$C$8)*$C$11 + $H24*$C$14*$C$13*$C$12*$C$11)*12)/100000</f>
        <v/>
      </c>
      <c r="J24" s="40">
        <f>($D$6 + ($D$7*MAX(0,$H24*(1-$C$14)*$C$10-$D$8)*$C$11 + $H24*$C$14*$C$13*$C$12*$C$11)*12)/100000</f>
        <v/>
      </c>
      <c r="K24" s="40">
        <f>($E$6 + ($E$7*MAX(0,$H24*(1-$C$14)*$C$10-$E$8)*$C$11 + $H24*$C$14*$C$13*$C$12*$C$11)*12)/100000</f>
        <v/>
      </c>
    </row>
    <row r="25">
      <c r="B25" s="25" t="n">
        <v>12</v>
      </c>
      <c r="C25" s="24">
        <f>$B25*$C$14*$C$13*$C$12*$C$11*12/100000</f>
        <v/>
      </c>
      <c r="D25" s="24">
        <f>$C$7*MAX(0,$B25*(1-$C$14)*$C$10-$C$8)*$C$11*12/100000</f>
        <v/>
      </c>
      <c r="E25" s="24">
        <f>$D$7*MAX(0,$B25*(1-$C$14)*$C$10-$D$8)*$C$11*12/100000</f>
        <v/>
      </c>
      <c r="F25" s="24">
        <f>$E$7*MAX(0,$B25*(1-$C$14)*$C$10-$E$8)*$C$11*12/100000</f>
        <v/>
      </c>
      <c r="H25" s="39" t="n">
        <v>28</v>
      </c>
      <c r="I25" s="40">
        <f>($C$6 + ($C$7*MAX(0,$H25*(1-$C$14)*$C$10-$C$8)*$C$11 + $H25*$C$14*$C$13*$C$12*$C$11)*12)/100000</f>
        <v/>
      </c>
      <c r="J25" s="40">
        <f>($D$6 + ($D$7*MAX(0,$H25*(1-$C$14)*$C$10-$D$8)*$C$11 + $H25*$C$14*$C$13*$C$12*$C$11)*12)/100000</f>
        <v/>
      </c>
      <c r="K25" s="40">
        <f>($E$6 + ($E$7*MAX(0,$H25*(1-$C$14)*$C$10-$E$8)*$C$11 + $H25*$C$14*$C$13*$C$12*$C$11)*12)/100000</f>
        <v/>
      </c>
    </row>
    <row r="26">
      <c r="B26" s="25" t="n">
        <v>16</v>
      </c>
      <c r="C26" s="24">
        <f>$B26*$C$14*$C$13*$C$12*$C$11*12/100000</f>
        <v/>
      </c>
      <c r="D26" s="24">
        <f>$C$7*MAX(0,$B26*(1-$C$14)*$C$10-$C$8)*$C$11*12/100000</f>
        <v/>
      </c>
      <c r="E26" s="24">
        <f>$D$7*MAX(0,$B26*(1-$C$14)*$C$10-$D$8)*$C$11*12/100000</f>
        <v/>
      </c>
      <c r="F26" s="24">
        <f>$E$7*MAX(0,$B26*(1-$C$14)*$C$10-$E$8)*$C$11*12/100000</f>
        <v/>
      </c>
      <c r="H26" s="39" t="n">
        <v>29</v>
      </c>
      <c r="I26" s="40">
        <f>($C$6 + ($C$7*MAX(0,$H26*(1-$C$14)*$C$10-$C$8)*$C$11 + $H26*$C$14*$C$13*$C$12*$C$11)*12)/100000</f>
        <v/>
      </c>
      <c r="J26" s="40">
        <f>($D$6 + ($D$7*MAX(0,$H26*(1-$C$14)*$C$10-$D$8)*$C$11 + $H26*$C$14*$C$13*$C$12*$C$11)*12)/100000</f>
        <v/>
      </c>
      <c r="K26" s="40">
        <f>($E$6 + ($E$7*MAX(0,$H26*(1-$C$14)*$C$10-$E$8)*$C$11 + $H26*$C$14*$C$13*$C$12*$C$11)*12)/100000</f>
        <v/>
      </c>
    </row>
    <row r="27">
      <c r="B27" s="25" t="n">
        <v>22</v>
      </c>
      <c r="C27" s="24">
        <f>$B27*$C$14*$C$13*$C$12*$C$11*12/100000</f>
        <v/>
      </c>
      <c r="D27" s="24">
        <f>$C$7*MAX(0,$B27*(1-$C$14)*$C$10-$C$8)*$C$11*12/100000</f>
        <v/>
      </c>
      <c r="E27" s="24">
        <f>$D$7*MAX(0,$B27*(1-$C$14)*$C$10-$D$8)*$C$11*12/100000</f>
        <v/>
      </c>
      <c r="F27" s="24">
        <f>$E$7*MAX(0,$B27*(1-$C$14)*$C$10-$E$8)*$C$11*12/100000</f>
        <v/>
      </c>
      <c r="H27" s="39" t="n">
        <v>30</v>
      </c>
      <c r="I27" s="40">
        <f>($C$6 + ($C$7*MAX(0,$H27*(1-$C$14)*$C$10-$C$8)*$C$11 + $H27*$C$14*$C$13*$C$12*$C$11)*12)/100000</f>
        <v/>
      </c>
      <c r="J27" s="40">
        <f>($D$6 + ($D$7*MAX(0,$H27*(1-$C$14)*$C$10-$D$8)*$C$11 + $H27*$C$14*$C$13*$C$12*$C$11)*12)/100000</f>
        <v/>
      </c>
      <c r="K27" s="40">
        <f>($E$6 + ($E$7*MAX(0,$H27*(1-$C$14)*$C$10-$E$8)*$C$11 + $H27*$C$14*$C$13*$C$12*$C$11)*12)/100000</f>
        <v/>
      </c>
    </row>
    <row r="28">
      <c r="B28" s="25" t="n">
        <v>30</v>
      </c>
      <c r="C28" s="24">
        <f>$B28*$C$14*$C$13*$C$12*$C$11*12/100000</f>
        <v/>
      </c>
      <c r="D28" s="24">
        <f>$C$7*MAX(0,$B28*(1-$C$14)*$C$10-$C$8)*$C$11*12/100000</f>
        <v/>
      </c>
      <c r="E28" s="24">
        <f>$D$7*MAX(0,$B28*(1-$C$14)*$C$10-$D$8)*$C$11*12/100000</f>
        <v/>
      </c>
      <c r="F28" s="24">
        <f>$E$7*MAX(0,$B28*(1-$C$14)*$C$10-$E$8)*$C$11*12/100000</f>
        <v/>
      </c>
      <c r="H28" s="39" t="n">
        <v>31</v>
      </c>
      <c r="I28" s="40">
        <f>($C$6 + ($C$7*MAX(0,$H28*(1-$C$14)*$C$10-$C$8)*$C$11 + $H28*$C$14*$C$13*$C$12*$C$11)*12)/100000</f>
        <v/>
      </c>
      <c r="J28" s="40">
        <f>($D$6 + ($D$7*MAX(0,$H28*(1-$C$14)*$C$10-$D$8)*$C$11 + $H28*$C$14*$C$13*$C$12*$C$11)*12)/100000</f>
        <v/>
      </c>
      <c r="K28" s="40">
        <f>($E$6 + ($E$7*MAX(0,$H28*(1-$C$14)*$C$10-$E$8)*$C$11 + $H28*$C$14*$C$13*$C$12*$C$11)*12)/100000</f>
        <v/>
      </c>
    </row>
    <row r="29">
      <c r="H29" s="39" t="n">
        <v>32</v>
      </c>
      <c r="I29" s="40">
        <f>($C$6 + ($C$7*MAX(0,$H29*(1-$C$14)*$C$10-$C$8)*$C$11 + $H29*$C$14*$C$13*$C$12*$C$11)*12)/100000</f>
        <v/>
      </c>
      <c r="J29" s="40">
        <f>($D$6 + ($D$7*MAX(0,$H29*(1-$C$14)*$C$10-$D$8)*$C$11 + $H29*$C$14*$C$13*$C$12*$C$11)*12)/100000</f>
        <v/>
      </c>
      <c r="K29" s="40">
        <f>($E$6 + ($E$7*MAX(0,$H29*(1-$C$14)*$C$10-$E$8)*$C$11 + $H29*$C$14*$C$13*$C$12*$C$11)*12)/100000</f>
        <v/>
      </c>
    </row>
    <row r="30">
      <c r="B30" s="12" t="inlineStr">
        <is>
          <t>MRR COMMISSION OVERTAKES ONBOARDING AT (clients/month)</t>
        </is>
      </c>
      <c r="H30" s="39" t="n">
        <v>33</v>
      </c>
      <c r="I30" s="40">
        <f>($C$6 + ($C$7*MAX(0,$H30*(1-$C$14)*$C$10-$C$8)*$C$11 + $H30*$C$14*$C$13*$C$12*$C$11)*12)/100000</f>
        <v/>
      </c>
      <c r="J30" s="40">
        <f>($D$6 + ($D$7*MAX(0,$H30*(1-$C$14)*$C$10-$D$8)*$C$11 + $H30*$C$14*$C$13*$C$12*$C$11)*12)/100000</f>
        <v/>
      </c>
      <c r="K30" s="40">
        <f>($E$6 + ($E$7*MAX(0,$H30*(1-$C$14)*$C$10-$E$8)*$C$11 + $H30*$C$14*$C$13*$C$12*$C$11)*12)/100000</f>
        <v/>
      </c>
    </row>
    <row r="31">
      <c r="B31" s="4" t="inlineStr">
        <is>
          <t>Crossover point</t>
        </is>
      </c>
      <c r="C31" s="31">
        <f>($C$7*$C$8)/($C$7*(1-$C$14)*$C$10-$C$14*$C$13*$C$12)</f>
        <v/>
      </c>
      <c r="D31" s="31">
        <f>($D$7*$D$8)/($D$7*(1-$C$14)*$C$10-$C$14*$C$13*$C$12)</f>
        <v/>
      </c>
      <c r="E31" s="31">
        <f>($E$7*$E$8)/($E$7*(1-$C$14)*$C$10-$C$14*$C$13*$C$12)</f>
        <v/>
      </c>
      <c r="H31" s="39" t="n">
        <v>34</v>
      </c>
      <c r="I31" s="40">
        <f>($C$6 + ($C$7*MAX(0,$H31*(1-$C$14)*$C$10-$C$8)*$C$11 + $H31*$C$14*$C$13*$C$12*$C$11)*12)/100000</f>
        <v/>
      </c>
      <c r="J31" s="40">
        <f>($D$6 + ($D$7*MAX(0,$H31*(1-$C$14)*$C$10-$D$8)*$C$11 + $H31*$C$14*$C$13*$C$12*$C$11)*12)/100000</f>
        <v/>
      </c>
      <c r="K31" s="40">
        <f>($E$6 + ($E$7*MAX(0,$H31*(1-$C$14)*$C$10-$E$8)*$C$11 + $H31*$C$14*$C$13*$C$12*$C$11)*12)/100000</f>
        <v/>
      </c>
    </row>
    <row r="32">
      <c r="H32" s="39" t="n">
        <v>35</v>
      </c>
      <c r="I32" s="40">
        <f>($C$6 + ($C$7*MAX(0,$H32*(1-$C$14)*$C$10-$C$8)*$C$11 + $H32*$C$14*$C$13*$C$12*$C$11)*12)/100000</f>
        <v/>
      </c>
      <c r="J32" s="40">
        <f>($D$6 + ($D$7*MAX(0,$H32*(1-$C$14)*$C$10-$D$8)*$C$11 + $H32*$C$14*$C$13*$C$12*$C$11)*12)/100000</f>
        <v/>
      </c>
      <c r="K32" s="40">
        <f>($E$6 + ($E$7*MAX(0,$H32*(1-$C$14)*$C$10-$E$8)*$C$11 + $H32*$C$14*$C$13*$C$12*$C$11)*12)/100000</f>
        <v/>
      </c>
    </row>
  </sheetData>
  <mergeCells count="6">
    <mergeCell ref="B4:F4"/>
    <mergeCell ref="B2:F2"/>
    <mergeCell ref="B30:E30"/>
    <mergeCell ref="B16:E16"/>
    <mergeCell ref="B23:F23"/>
    <mergeCell ref="B9:F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30" customHeight="1">
      <c r="B2" s="41" t="inlineStr">
        <is>
          <t>Unified Model  -  MRR with onboarding folded in (one pot, one rate, one floor)</t>
        </is>
      </c>
    </row>
    <row r="4">
      <c r="B4" s="12" t="inlineStr">
        <is>
          <t>INPUTS</t>
        </is>
      </c>
    </row>
    <row r="5">
      <c r="B5" s="4" t="inlineStr">
        <is>
          <t>Fixed base salary (Rs / year)</t>
        </is>
      </c>
      <c r="C5" s="13" t="n">
        <v>1600000</v>
      </c>
    </row>
    <row r="6">
      <c r="B6" s="4" t="inlineStr">
        <is>
          <t>Commission rate (% of new MRR above floor)</t>
        </is>
      </c>
      <c r="C6" s="15" t="n">
        <v>0.25</v>
      </c>
    </row>
    <row r="7">
      <c r="B7" s="4" t="inlineStr">
        <is>
          <t>Avg MRR per regular client ($ / month)</t>
        </is>
      </c>
      <c r="C7" s="30" t="n">
        <v>300</v>
      </c>
    </row>
    <row r="8">
      <c r="B8" s="4" t="inlineStr">
        <is>
          <t>FX rate (Rs per $)</t>
        </is>
      </c>
      <c r="C8" s="14" t="n">
        <v>80</v>
      </c>
    </row>
    <row r="9">
      <c r="B9" s="4" t="inlineStr">
        <is>
          <t>MRR floor ($/mo of new MRR, no commission below)</t>
        </is>
      </c>
      <c r="C9" s="30" t="n">
        <v>2400</v>
      </c>
    </row>
    <row r="10">
      <c r="B10" s="4" t="inlineStr">
        <is>
          <t>Onboarding fee ($)</t>
        </is>
      </c>
      <c r="C10" s="30" t="n">
        <v>500</v>
      </c>
    </row>
    <row r="11">
      <c r="B11" s="4" t="inlineStr">
        <is>
          <t>Onboarding-to-MRR divisor (fee / X = MRR added)</t>
        </is>
      </c>
      <c r="C11" s="42" t="n">
        <v>3</v>
      </c>
    </row>
    <row r="12">
      <c r="B12" s="4" t="inlineStr">
        <is>
          <t>% of monthly closes that are onboarding clients</t>
        </is>
      </c>
      <c r="C12" s="15" t="n">
        <v>0.2</v>
      </c>
    </row>
    <row r="13">
      <c r="B13" s="5" t="inlineStr">
        <is>
          <t>Payout split (info only)</t>
        </is>
      </c>
      <c r="C13" s="16" t="inlineStr">
        <is>
          <t>50% month 1 / 50% month 3</t>
        </is>
      </c>
    </row>
    <row r="15">
      <c r="B15" s="20" t="inlineStr">
        <is>
          <t>MRR-equivalent per onboarding client ($) = fee / divisor</t>
        </is>
      </c>
      <c r="C15" s="43">
        <f>$C$10/$C$11</f>
        <v/>
      </c>
    </row>
    <row r="16">
      <c r="B16" s="20" t="inlineStr">
        <is>
          <t>Commission per regular client above floor (Rs) = rate x avg x FX</t>
        </is>
      </c>
      <c r="C16" s="21">
        <f>$C$6*$C$7*$C$8</f>
        <v/>
      </c>
    </row>
    <row r="17">
      <c r="B17" s="20" t="inlineStr">
        <is>
          <t>Commission per onboarding client above floor (Rs) = rate x (fee/div) x FX</t>
        </is>
      </c>
      <c r="C17" s="21">
        <f>$C$6*($C$10/$C$11)*$C$8</f>
        <v/>
      </c>
    </row>
    <row r="19" ht="44" customHeight="1">
      <c r="B19" s="34" t="inlineStr">
        <is>
          <t>One commission only: 25% of total new MRR above the floor. Each onboarding client adds (fee / divisor) of MRR-equivalent, which counts toward the floor AND earns the same commission. No separate onboarding payout. Keep fee/divisor below the avg MRR ($300) so a big client always outweighs a small one.</t>
        </is>
      </c>
    </row>
    <row r="21">
      <c r="B21" s="12" t="inlineStr">
        <is>
          <t>EARNINGS BY MONTHLY CLOSE RATE</t>
        </is>
      </c>
    </row>
    <row r="22" ht="50" customHeight="1">
      <c r="B22" s="35" t="inlineStr">
        <is>
          <t>Clients / month</t>
        </is>
      </c>
      <c r="C22" s="35" t="inlineStr">
        <is>
          <t>Onboarding clients</t>
        </is>
      </c>
      <c r="D22" s="35" t="inlineStr">
        <is>
          <t>Onboarding MRR-equiv ($)</t>
        </is>
      </c>
      <c r="E22" s="35" t="inlineStr">
        <is>
          <t>New MRR pool ($)</t>
        </is>
      </c>
      <c r="F22" s="35" t="inlineStr">
        <is>
          <t>Commissionable ($)</t>
        </is>
      </c>
      <c r="G22" s="35" t="inlineStr">
        <is>
          <t>Commission / mo (Rs)</t>
        </is>
      </c>
      <c r="H22" s="35" t="inlineStr">
        <is>
          <t>Annual variable (Rs L)</t>
        </is>
      </c>
      <c r="I22" s="35" t="inlineStr">
        <is>
          <t>Total CTC (Rs L)</t>
        </is>
      </c>
    </row>
    <row r="23">
      <c r="B23" s="23" t="n">
        <v>8</v>
      </c>
      <c r="C23" s="36">
        <f>B23*$C$12</f>
        <v/>
      </c>
      <c r="D23" s="32">
        <f>C23*($C$10/$C$11)</f>
        <v/>
      </c>
      <c r="E23" s="32">
        <f>(B23-C23)*$C$7+D23</f>
        <v/>
      </c>
      <c r="F23" s="32">
        <f>MAX(0,E23-$C$9)</f>
        <v/>
      </c>
      <c r="G23" s="10">
        <f>$C$6*F23*$C$8</f>
        <v/>
      </c>
      <c r="H23" s="24">
        <f>G23*12/100000</f>
        <v/>
      </c>
      <c r="I23" s="24">
        <f>($C$5+G23*12)/100000</f>
        <v/>
      </c>
    </row>
    <row r="24">
      <c r="B24" s="23" t="n">
        <v>9</v>
      </c>
      <c r="C24" s="36">
        <f>B24*$C$12</f>
        <v/>
      </c>
      <c r="D24" s="32">
        <f>C24*($C$10/$C$11)</f>
        <v/>
      </c>
      <c r="E24" s="32">
        <f>(B24-C24)*$C$7+D24</f>
        <v/>
      </c>
      <c r="F24" s="32">
        <f>MAX(0,E24-$C$9)</f>
        <v/>
      </c>
      <c r="G24" s="10">
        <f>$C$6*F24*$C$8</f>
        <v/>
      </c>
      <c r="H24" s="24">
        <f>G24*12/100000</f>
        <v/>
      </c>
      <c r="I24" s="24">
        <f>($C$5+G24*12)/100000</f>
        <v/>
      </c>
    </row>
    <row r="25">
      <c r="B25" s="23" t="n">
        <v>10</v>
      </c>
      <c r="C25" s="36">
        <f>B25*$C$12</f>
        <v/>
      </c>
      <c r="D25" s="32">
        <f>C25*($C$10/$C$11)</f>
        <v/>
      </c>
      <c r="E25" s="32">
        <f>(B25-C25)*$C$7+D25</f>
        <v/>
      </c>
      <c r="F25" s="32">
        <f>MAX(0,E25-$C$9)</f>
        <v/>
      </c>
      <c r="G25" s="10">
        <f>$C$6*F25*$C$8</f>
        <v/>
      </c>
      <c r="H25" s="24">
        <f>G25*12/100000</f>
        <v/>
      </c>
      <c r="I25" s="24">
        <f>($C$5+G25*12)/100000</f>
        <v/>
      </c>
    </row>
    <row r="26">
      <c r="B26" s="23" t="n">
        <v>11</v>
      </c>
      <c r="C26" s="36">
        <f>B26*$C$12</f>
        <v/>
      </c>
      <c r="D26" s="32">
        <f>C26*($C$10/$C$11)</f>
        <v/>
      </c>
      <c r="E26" s="32">
        <f>(B26-C26)*$C$7+D26</f>
        <v/>
      </c>
      <c r="F26" s="32">
        <f>MAX(0,E26-$C$9)</f>
        <v/>
      </c>
      <c r="G26" s="10">
        <f>$C$6*F26*$C$8</f>
        <v/>
      </c>
      <c r="H26" s="24">
        <f>G26*12/100000</f>
        <v/>
      </c>
      <c r="I26" s="24">
        <f>($C$5+G26*12)/100000</f>
        <v/>
      </c>
    </row>
    <row r="27">
      <c r="B27" s="25" t="n">
        <v>12</v>
      </c>
      <c r="C27" s="37">
        <f>B27*$C$12</f>
        <v/>
      </c>
      <c r="D27" s="33">
        <f>C27*($C$10/$C$11)</f>
        <v/>
      </c>
      <c r="E27" s="33">
        <f>(B27-C27)*$C$7+D27</f>
        <v/>
      </c>
      <c r="F27" s="33">
        <f>MAX(0,E27-$C$9)</f>
        <v/>
      </c>
      <c r="G27" s="27">
        <f>$C$6*F27*$C$8</f>
        <v/>
      </c>
      <c r="H27" s="28">
        <f>G27*12/100000</f>
        <v/>
      </c>
      <c r="I27" s="29">
        <f>($C$5+G27*12)/100000</f>
        <v/>
      </c>
    </row>
    <row r="28">
      <c r="B28" s="23" t="n">
        <v>13</v>
      </c>
      <c r="C28" s="36">
        <f>B28*$C$12</f>
        <v/>
      </c>
      <c r="D28" s="32">
        <f>C28*($C$10/$C$11)</f>
        <v/>
      </c>
      <c r="E28" s="32">
        <f>(B28-C28)*$C$7+D28</f>
        <v/>
      </c>
      <c r="F28" s="32">
        <f>MAX(0,E28-$C$9)</f>
        <v/>
      </c>
      <c r="G28" s="10">
        <f>$C$6*F28*$C$8</f>
        <v/>
      </c>
      <c r="H28" s="24">
        <f>G28*12/100000</f>
        <v/>
      </c>
      <c r="I28" s="24">
        <f>($C$5+G28*12)/100000</f>
        <v/>
      </c>
    </row>
    <row r="29">
      <c r="B29" s="23" t="n">
        <v>14</v>
      </c>
      <c r="C29" s="36">
        <f>B29*$C$12</f>
        <v/>
      </c>
      <c r="D29" s="32">
        <f>C29*($C$10/$C$11)</f>
        <v/>
      </c>
      <c r="E29" s="32">
        <f>(B29-C29)*$C$7+D29</f>
        <v/>
      </c>
      <c r="F29" s="32">
        <f>MAX(0,E29-$C$9)</f>
        <v/>
      </c>
      <c r="G29" s="10">
        <f>$C$6*F29*$C$8</f>
        <v/>
      </c>
      <c r="H29" s="24">
        <f>G29*12/100000</f>
        <v/>
      </c>
      <c r="I29" s="24">
        <f>($C$5+G29*12)/100000</f>
        <v/>
      </c>
    </row>
    <row r="30">
      <c r="B30" s="23" t="n">
        <v>15</v>
      </c>
      <c r="C30" s="36">
        <f>B30*$C$12</f>
        <v/>
      </c>
      <c r="D30" s="32">
        <f>C30*($C$10/$C$11)</f>
        <v/>
      </c>
      <c r="E30" s="32">
        <f>(B30-C30)*$C$7+D30</f>
        <v/>
      </c>
      <c r="F30" s="32">
        <f>MAX(0,E30-$C$9)</f>
        <v/>
      </c>
      <c r="G30" s="10">
        <f>$C$6*F30*$C$8</f>
        <v/>
      </c>
      <c r="H30" s="24">
        <f>G30*12/100000</f>
        <v/>
      </c>
      <c r="I30" s="24">
        <f>($C$5+G30*12)/100000</f>
        <v/>
      </c>
    </row>
    <row r="31">
      <c r="B31" s="25" t="n">
        <v>16</v>
      </c>
      <c r="C31" s="37">
        <f>B31*$C$12</f>
        <v/>
      </c>
      <c r="D31" s="33">
        <f>C31*($C$10/$C$11)</f>
        <v/>
      </c>
      <c r="E31" s="33">
        <f>(B31-C31)*$C$7+D31</f>
        <v/>
      </c>
      <c r="F31" s="33">
        <f>MAX(0,E31-$C$9)</f>
        <v/>
      </c>
      <c r="G31" s="27">
        <f>$C$6*F31*$C$8</f>
        <v/>
      </c>
      <c r="H31" s="28">
        <f>G31*12/100000</f>
        <v/>
      </c>
      <c r="I31" s="29">
        <f>($C$5+G31*12)/100000</f>
        <v/>
      </c>
    </row>
    <row r="32">
      <c r="B32" s="23" t="n">
        <v>17</v>
      </c>
      <c r="C32" s="36">
        <f>B32*$C$12</f>
        <v/>
      </c>
      <c r="D32" s="32">
        <f>C32*($C$10/$C$11)</f>
        <v/>
      </c>
      <c r="E32" s="32">
        <f>(B32-C32)*$C$7+D32</f>
        <v/>
      </c>
      <c r="F32" s="32">
        <f>MAX(0,E32-$C$9)</f>
        <v/>
      </c>
      <c r="G32" s="10">
        <f>$C$6*F32*$C$8</f>
        <v/>
      </c>
      <c r="H32" s="24">
        <f>G32*12/100000</f>
        <v/>
      </c>
      <c r="I32" s="24">
        <f>($C$5+G32*12)/100000</f>
        <v/>
      </c>
    </row>
    <row r="33">
      <c r="B33" s="23" t="n">
        <v>18</v>
      </c>
      <c r="C33" s="36">
        <f>B33*$C$12</f>
        <v/>
      </c>
      <c r="D33" s="32">
        <f>C33*($C$10/$C$11)</f>
        <v/>
      </c>
      <c r="E33" s="32">
        <f>(B33-C33)*$C$7+D33</f>
        <v/>
      </c>
      <c r="F33" s="32">
        <f>MAX(0,E33-$C$9)</f>
        <v/>
      </c>
      <c r="G33" s="10">
        <f>$C$6*F33*$C$8</f>
        <v/>
      </c>
      <c r="H33" s="24">
        <f>G33*12/100000</f>
        <v/>
      </c>
      <c r="I33" s="24">
        <f>($C$5+G33*12)/100000</f>
        <v/>
      </c>
    </row>
    <row r="34">
      <c r="B34" s="23" t="n">
        <v>19</v>
      </c>
      <c r="C34" s="36">
        <f>B34*$C$12</f>
        <v/>
      </c>
      <c r="D34" s="32">
        <f>C34*($C$10/$C$11)</f>
        <v/>
      </c>
      <c r="E34" s="32">
        <f>(B34-C34)*$C$7+D34</f>
        <v/>
      </c>
      <c r="F34" s="32">
        <f>MAX(0,E34-$C$9)</f>
        <v/>
      </c>
      <c r="G34" s="10">
        <f>$C$6*F34*$C$8</f>
        <v/>
      </c>
      <c r="H34" s="24">
        <f>G34*12/100000</f>
        <v/>
      </c>
      <c r="I34" s="24">
        <f>($C$5+G34*12)/100000</f>
        <v/>
      </c>
    </row>
    <row r="35">
      <c r="B35" s="23" t="n">
        <v>20</v>
      </c>
      <c r="C35" s="36">
        <f>B35*$C$12</f>
        <v/>
      </c>
      <c r="D35" s="32">
        <f>C35*($C$10/$C$11)</f>
        <v/>
      </c>
      <c r="E35" s="32">
        <f>(B35-C35)*$C$7+D35</f>
        <v/>
      </c>
      <c r="F35" s="32">
        <f>MAX(0,E35-$C$9)</f>
        <v/>
      </c>
      <c r="G35" s="10">
        <f>$C$6*F35*$C$8</f>
        <v/>
      </c>
      <c r="H35" s="24">
        <f>G35*12/100000</f>
        <v/>
      </c>
      <c r="I35" s="24">
        <f>($C$5+G35*12)/100000</f>
        <v/>
      </c>
    </row>
    <row r="36">
      <c r="B36" s="23" t="n">
        <v>21</v>
      </c>
      <c r="C36" s="36">
        <f>B36*$C$12</f>
        <v/>
      </c>
      <c r="D36" s="32">
        <f>C36*($C$10/$C$11)</f>
        <v/>
      </c>
      <c r="E36" s="32">
        <f>(B36-C36)*$C$7+D36</f>
        <v/>
      </c>
      <c r="F36" s="32">
        <f>MAX(0,E36-$C$9)</f>
        <v/>
      </c>
      <c r="G36" s="10">
        <f>$C$6*F36*$C$8</f>
        <v/>
      </c>
      <c r="H36" s="24">
        <f>G36*12/100000</f>
        <v/>
      </c>
      <c r="I36" s="24">
        <f>($C$5+G36*12)/100000</f>
        <v/>
      </c>
    </row>
    <row r="37">
      <c r="B37" s="25" t="n">
        <v>22</v>
      </c>
      <c r="C37" s="37">
        <f>B37*$C$12</f>
        <v/>
      </c>
      <c r="D37" s="33">
        <f>C37*($C$10/$C$11)</f>
        <v/>
      </c>
      <c r="E37" s="33">
        <f>(B37-C37)*$C$7+D37</f>
        <v/>
      </c>
      <c r="F37" s="33">
        <f>MAX(0,E37-$C$9)</f>
        <v/>
      </c>
      <c r="G37" s="27">
        <f>$C$6*F37*$C$8</f>
        <v/>
      </c>
      <c r="H37" s="28">
        <f>G37*12/100000</f>
        <v/>
      </c>
      <c r="I37" s="29">
        <f>($C$5+G37*12)/100000</f>
        <v/>
      </c>
    </row>
    <row r="38">
      <c r="B38" s="23" t="n">
        <v>23</v>
      </c>
      <c r="C38" s="36">
        <f>B38*$C$12</f>
        <v/>
      </c>
      <c r="D38" s="32">
        <f>C38*($C$10/$C$11)</f>
        <v/>
      </c>
      <c r="E38" s="32">
        <f>(B38-C38)*$C$7+D38</f>
        <v/>
      </c>
      <c r="F38" s="32">
        <f>MAX(0,E38-$C$9)</f>
        <v/>
      </c>
      <c r="G38" s="10">
        <f>$C$6*F38*$C$8</f>
        <v/>
      </c>
      <c r="H38" s="24">
        <f>G38*12/100000</f>
        <v/>
      </c>
      <c r="I38" s="24">
        <f>($C$5+G38*12)/100000</f>
        <v/>
      </c>
    </row>
    <row r="39">
      <c r="B39" s="23" t="n">
        <v>24</v>
      </c>
      <c r="C39" s="36">
        <f>B39*$C$12</f>
        <v/>
      </c>
      <c r="D39" s="32">
        <f>C39*($C$10/$C$11)</f>
        <v/>
      </c>
      <c r="E39" s="32">
        <f>(B39-C39)*$C$7+D39</f>
        <v/>
      </c>
      <c r="F39" s="32">
        <f>MAX(0,E39-$C$9)</f>
        <v/>
      </c>
      <c r="G39" s="10">
        <f>$C$6*F39*$C$8</f>
        <v/>
      </c>
      <c r="H39" s="24">
        <f>G39*12/100000</f>
        <v/>
      </c>
      <c r="I39" s="24">
        <f>($C$5+G39*12)/100000</f>
        <v/>
      </c>
    </row>
    <row r="40">
      <c r="B40" s="23" t="n">
        <v>25</v>
      </c>
      <c r="C40" s="36">
        <f>B40*$C$12</f>
        <v/>
      </c>
      <c r="D40" s="32">
        <f>C40*($C$10/$C$11)</f>
        <v/>
      </c>
      <c r="E40" s="32">
        <f>(B40-C40)*$C$7+D40</f>
        <v/>
      </c>
      <c r="F40" s="32">
        <f>MAX(0,E40-$C$9)</f>
        <v/>
      </c>
      <c r="G40" s="10">
        <f>$C$6*F40*$C$8</f>
        <v/>
      </c>
      <c r="H40" s="24">
        <f>G40*12/100000</f>
        <v/>
      </c>
      <c r="I40" s="24">
        <f>($C$5+G40*12)/100000</f>
        <v/>
      </c>
    </row>
    <row r="41">
      <c r="B41" s="23" t="n">
        <v>26</v>
      </c>
      <c r="C41" s="36">
        <f>B41*$C$12</f>
        <v/>
      </c>
      <c r="D41" s="32">
        <f>C41*($C$10/$C$11)</f>
        <v/>
      </c>
      <c r="E41" s="32">
        <f>(B41-C41)*$C$7+D41</f>
        <v/>
      </c>
      <c r="F41" s="32">
        <f>MAX(0,E41-$C$9)</f>
        <v/>
      </c>
      <c r="G41" s="10">
        <f>$C$6*F41*$C$8</f>
        <v/>
      </c>
      <c r="H41" s="24">
        <f>G41*12/100000</f>
        <v/>
      </c>
      <c r="I41" s="24">
        <f>($C$5+G41*12)/100000</f>
        <v/>
      </c>
    </row>
    <row r="42">
      <c r="B42" s="23" t="n">
        <v>27</v>
      </c>
      <c r="C42" s="36">
        <f>B42*$C$12</f>
        <v/>
      </c>
      <c r="D42" s="32">
        <f>C42*($C$10/$C$11)</f>
        <v/>
      </c>
      <c r="E42" s="32">
        <f>(B42-C42)*$C$7+D42</f>
        <v/>
      </c>
      <c r="F42" s="32">
        <f>MAX(0,E42-$C$9)</f>
        <v/>
      </c>
      <c r="G42" s="10">
        <f>$C$6*F42*$C$8</f>
        <v/>
      </c>
      <c r="H42" s="24">
        <f>G42*12/100000</f>
        <v/>
      </c>
      <c r="I42" s="24">
        <f>($C$5+G42*12)/100000</f>
        <v/>
      </c>
    </row>
    <row r="43">
      <c r="B43" s="23" t="n">
        <v>28</v>
      </c>
      <c r="C43" s="36">
        <f>B43*$C$12</f>
        <v/>
      </c>
      <c r="D43" s="32">
        <f>C43*($C$10/$C$11)</f>
        <v/>
      </c>
      <c r="E43" s="32">
        <f>(B43-C43)*$C$7+D43</f>
        <v/>
      </c>
      <c r="F43" s="32">
        <f>MAX(0,E43-$C$9)</f>
        <v/>
      </c>
      <c r="G43" s="10">
        <f>$C$6*F43*$C$8</f>
        <v/>
      </c>
      <c r="H43" s="24">
        <f>G43*12/100000</f>
        <v/>
      </c>
      <c r="I43" s="24">
        <f>($C$5+G43*12)/100000</f>
        <v/>
      </c>
    </row>
    <row r="44">
      <c r="B44" s="23" t="n">
        <v>29</v>
      </c>
      <c r="C44" s="36">
        <f>B44*$C$12</f>
        <v/>
      </c>
      <c r="D44" s="32">
        <f>C44*($C$10/$C$11)</f>
        <v/>
      </c>
      <c r="E44" s="32">
        <f>(B44-C44)*$C$7+D44</f>
        <v/>
      </c>
      <c r="F44" s="32">
        <f>MAX(0,E44-$C$9)</f>
        <v/>
      </c>
      <c r="G44" s="10">
        <f>$C$6*F44*$C$8</f>
        <v/>
      </c>
      <c r="H44" s="24">
        <f>G44*12/100000</f>
        <v/>
      </c>
      <c r="I44" s="24">
        <f>($C$5+G44*12)/100000</f>
        <v/>
      </c>
    </row>
    <row r="45">
      <c r="B45" s="25" t="n">
        <v>30</v>
      </c>
      <c r="C45" s="37">
        <f>B45*$C$12</f>
        <v/>
      </c>
      <c r="D45" s="33">
        <f>C45*($C$10/$C$11)</f>
        <v/>
      </c>
      <c r="E45" s="33">
        <f>(B45-C45)*$C$7+D45</f>
        <v/>
      </c>
      <c r="F45" s="33">
        <f>MAX(0,E45-$C$9)</f>
        <v/>
      </c>
      <c r="G45" s="27">
        <f>$C$6*F45*$C$8</f>
        <v/>
      </c>
      <c r="H45" s="28">
        <f>G45*12/100000</f>
        <v/>
      </c>
      <c r="I45" s="29">
        <f>($C$5+G45*12)/100000</f>
        <v/>
      </c>
    </row>
    <row r="46">
      <c r="B46" s="23" t="n">
        <v>31</v>
      </c>
      <c r="C46" s="36">
        <f>B46*$C$12</f>
        <v/>
      </c>
      <c r="D46" s="32">
        <f>C46*($C$10/$C$11)</f>
        <v/>
      </c>
      <c r="E46" s="32">
        <f>(B46-C46)*$C$7+D46</f>
        <v/>
      </c>
      <c r="F46" s="32">
        <f>MAX(0,E46-$C$9)</f>
        <v/>
      </c>
      <c r="G46" s="10">
        <f>$C$6*F46*$C$8</f>
        <v/>
      </c>
      <c r="H46" s="24">
        <f>G46*12/100000</f>
        <v/>
      </c>
      <c r="I46" s="24">
        <f>($C$5+G46*12)/100000</f>
        <v/>
      </c>
    </row>
    <row r="47">
      <c r="B47" s="23" t="n">
        <v>32</v>
      </c>
      <c r="C47" s="36">
        <f>B47*$C$12</f>
        <v/>
      </c>
      <c r="D47" s="32">
        <f>C47*($C$10/$C$11)</f>
        <v/>
      </c>
      <c r="E47" s="32">
        <f>(B47-C47)*$C$7+D47</f>
        <v/>
      </c>
      <c r="F47" s="32">
        <f>MAX(0,E47-$C$9)</f>
        <v/>
      </c>
      <c r="G47" s="10">
        <f>$C$6*F47*$C$8</f>
        <v/>
      </c>
      <c r="H47" s="24">
        <f>G47*12/100000</f>
        <v/>
      </c>
      <c r="I47" s="24">
        <f>($C$5+G47*12)/100000</f>
        <v/>
      </c>
    </row>
    <row r="48">
      <c r="B48" s="23" t="n">
        <v>33</v>
      </c>
      <c r="C48" s="36">
        <f>B48*$C$12</f>
        <v/>
      </c>
      <c r="D48" s="32">
        <f>C48*($C$10/$C$11)</f>
        <v/>
      </c>
      <c r="E48" s="32">
        <f>(B48-C48)*$C$7+D48</f>
        <v/>
      </c>
      <c r="F48" s="32">
        <f>MAX(0,E48-$C$9)</f>
        <v/>
      </c>
      <c r="G48" s="10">
        <f>$C$6*F48*$C$8</f>
        <v/>
      </c>
      <c r="H48" s="24">
        <f>G48*12/100000</f>
        <v/>
      </c>
      <c r="I48" s="24">
        <f>($C$5+G48*12)/100000</f>
        <v/>
      </c>
    </row>
    <row r="49">
      <c r="B49" s="23" t="n">
        <v>34</v>
      </c>
      <c r="C49" s="36">
        <f>B49*$C$12</f>
        <v/>
      </c>
      <c r="D49" s="32">
        <f>C49*($C$10/$C$11)</f>
        <v/>
      </c>
      <c r="E49" s="32">
        <f>(B49-C49)*$C$7+D49</f>
        <v/>
      </c>
      <c r="F49" s="32">
        <f>MAX(0,E49-$C$9)</f>
        <v/>
      </c>
      <c r="G49" s="10">
        <f>$C$6*F49*$C$8</f>
        <v/>
      </c>
      <c r="H49" s="24">
        <f>G49*12/100000</f>
        <v/>
      </c>
      <c r="I49" s="24">
        <f>($C$5+G49*12)/100000</f>
        <v/>
      </c>
    </row>
    <row r="50">
      <c r="B50" s="23" t="n">
        <v>35</v>
      </c>
      <c r="C50" s="36">
        <f>B50*$C$12</f>
        <v/>
      </c>
      <c r="D50" s="32">
        <f>C50*($C$10/$C$11)</f>
        <v/>
      </c>
      <c r="E50" s="32">
        <f>(B50-C50)*$C$7+D50</f>
        <v/>
      </c>
      <c r="F50" s="32">
        <f>MAX(0,E50-$C$9)</f>
        <v/>
      </c>
      <c r="G50" s="10">
        <f>$C$6*F50*$C$8</f>
        <v/>
      </c>
      <c r="H50" s="24">
        <f>G50*12/100000</f>
        <v/>
      </c>
      <c r="I50" s="24">
        <f>($C$5+G50*12)/100000</f>
        <v/>
      </c>
    </row>
    <row r="52">
      <c r="B52" s="12" t="inlineStr">
        <is>
          <t>KEY SCENARIOS  (green rows above)</t>
        </is>
      </c>
    </row>
    <row r="53">
      <c r="B53" s="7" t="inlineStr">
        <is>
          <t>Scenario</t>
        </is>
      </c>
      <c r="C53" s="7" t="inlineStr">
        <is>
          <t>Clients/month</t>
        </is>
      </c>
      <c r="D53" s="7" t="inlineStr">
        <is>
          <t>Total CTC (Rs L)</t>
        </is>
      </c>
    </row>
    <row r="54">
      <c r="B54" s="4" t="inlineStr">
        <is>
          <t>Current founder pace</t>
        </is>
      </c>
      <c r="C54" s="23" t="n">
        <v>12</v>
      </c>
      <c r="D54" s="29">
        <f>I27</f>
        <v/>
      </c>
    </row>
    <row r="55">
      <c r="B55" s="4" t="inlineStr">
        <is>
          <t>Year-1 realistic</t>
        </is>
      </c>
      <c r="C55" s="23" t="n">
        <v>16</v>
      </c>
      <c r="D55" s="29">
        <f>I31</f>
        <v/>
      </c>
    </row>
    <row r="56">
      <c r="B56" s="4" t="inlineStr">
        <is>
          <t>On-target (OTE)</t>
        </is>
      </c>
      <c r="C56" s="23" t="n">
        <v>22</v>
      </c>
      <c r="D56" s="29">
        <f>I37</f>
        <v/>
      </c>
    </row>
    <row r="57">
      <c r="B57" s="4" t="inlineStr">
        <is>
          <t>Stretch ceiling</t>
        </is>
      </c>
      <c r="C57" s="23" t="n">
        <v>30</v>
      </c>
      <c r="D57" s="29">
        <f>I45</f>
        <v/>
      </c>
    </row>
  </sheetData>
  <mergeCells count="6">
    <mergeCell ref="C13:F13"/>
    <mergeCell ref="B52:I52"/>
    <mergeCell ref="B21:I21"/>
    <mergeCell ref="B2:I2"/>
    <mergeCell ref="B19:I19"/>
    <mergeCell ref="B4:I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2026-06-09T19:13:09Z</dcterms:created>
  <dcterms:modified xsi:type="dcterms:W3CDTF">2026-06-09T19:13:09Z</dcterms:modified>
</cp:coreProperties>
</file>